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sper-my.sharepoint.com/personal/henriqueyjw1_insper_edu_br/Documents/mari_prado/dados_pgr/"/>
    </mc:Choice>
  </mc:AlternateContent>
  <xr:revisionPtr revIDLastSave="6" documentId="13_ncr:1_{BF048600-9F0B-43FC-8452-257840B8C47A}" xr6:coauthVersionLast="47" xr6:coauthVersionMax="47" xr10:uidLastSave="{41194907-667F-45C6-8EC0-1A213D77448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27" i="1"/>
  <c r="T26" i="1"/>
  <c r="S26" i="1"/>
  <c r="T25" i="1"/>
  <c r="T23" i="1"/>
  <c r="T17" i="1"/>
  <c r="T9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T2" i="1" s="1"/>
  <c r="B7" i="1"/>
  <c r="B6" i="1"/>
  <c r="B5" i="1"/>
  <c r="B4" i="1"/>
  <c r="T12" i="1" s="1"/>
  <c r="B122" i="1"/>
  <c r="B3" i="1"/>
  <c r="B2" i="1"/>
  <c r="T30" i="1" s="1"/>
  <c r="S7" i="1" l="1"/>
  <c r="S8" i="1"/>
  <c r="S16" i="1"/>
  <c r="S24" i="1"/>
  <c r="S15" i="1"/>
  <c r="T7" i="1"/>
  <c r="T8" i="1"/>
  <c r="T16" i="1"/>
  <c r="T24" i="1"/>
  <c r="S23" i="1"/>
  <c r="T15" i="1"/>
  <c r="S9" i="1"/>
  <c r="S17" i="1"/>
  <c r="S25" i="1"/>
  <c r="S10" i="1"/>
  <c r="S19" i="1"/>
  <c r="T3" i="1"/>
  <c r="T11" i="1"/>
  <c r="T19" i="1"/>
  <c r="T27" i="1"/>
  <c r="S3" i="1"/>
  <c r="S11" i="1"/>
  <c r="S4" i="1"/>
  <c r="S12" i="1"/>
  <c r="S20" i="1"/>
  <c r="S28" i="1"/>
  <c r="T28" i="1"/>
  <c r="T18" i="1"/>
  <c r="T4" i="1"/>
  <c r="S5" i="1"/>
  <c r="S13" i="1"/>
  <c r="S21" i="1"/>
  <c r="S29" i="1"/>
  <c r="T10" i="1"/>
  <c r="T20" i="1"/>
  <c r="T5" i="1"/>
  <c r="T13" i="1"/>
  <c r="T21" i="1"/>
  <c r="T29" i="1"/>
  <c r="S18" i="1"/>
  <c r="S6" i="1"/>
  <c r="S14" i="1"/>
  <c r="S22" i="1"/>
  <c r="S30" i="1"/>
  <c r="T6" i="1"/>
  <c r="T14" i="1"/>
  <c r="T22" i="1"/>
</calcChain>
</file>

<file path=xl/sharedStrings.xml><?xml version="1.0" encoding="utf-8"?>
<sst xmlns="http://schemas.openxmlformats.org/spreadsheetml/2006/main" count="1366" uniqueCount="619">
  <si>
    <t>Data Autuação</t>
  </si>
  <si>
    <t>Título</t>
  </si>
  <si>
    <t>Numerações</t>
  </si>
  <si>
    <t>Etiqueta</t>
  </si>
  <si>
    <t>Número de processo Único (NUP)</t>
  </si>
  <si>
    <t>Gênero</t>
  </si>
  <si>
    <t>Classe Processual</t>
  </si>
  <si>
    <t>Sigla da Classe Processual</t>
  </si>
  <si>
    <t>Unidade do MPF</t>
  </si>
  <si>
    <t>Ofício de Distribuição</t>
  </si>
  <si>
    <t>Membro Responsável</t>
  </si>
  <si>
    <t>Câmara</t>
  </si>
  <si>
    <t>Assunto CNMP</t>
  </si>
  <si>
    <t>Localização</t>
  </si>
  <si>
    <t>17/03/2010</t>
  </si>
  <si>
    <t>17.03.2010 - PIC  1.00.000.002699/2010-77 (CRIM.), PGR-SEJUD</t>
  </si>
  <si>
    <t>1.00.000.002699/2010-77;100000002699201077</t>
  </si>
  <si>
    <t>1.00.000.002699/2010-77</t>
  </si>
  <si>
    <t>PROCEDIMENTO EXTRAJUDICIAL</t>
  </si>
  <si>
    <t>PROCEDIMENTO INVESTIGATÓRIO CRIMINAL</t>
  </si>
  <si>
    <t>PIC</t>
  </si>
  <si>
    <t>PGR-SECRETARIA JURÍDICA E DE DOCUMENTAÇÃO</t>
  </si>
  <si>
    <t>PFDC - PROCURADORIA FEDERAL DOS DIREITOS DO CIDADÃO;1ª CÂMARA - DIREITOS SOCIAIS E ATOS ADMINISTRATIVOS EM GERAL;2ª CÂMARA - CRIMINAL;5ª CÂMARA - COMBATE À CORRUPÇÃO;NÃO IDENTIFICADA NA MIGRAÇÃO</t>
  </si>
  <si>
    <t>PFDC - DIREITO PROCESSUAL PENAL;1ª CCR - DIREITO PROCESSUAL PENAL;2ª CCR - DIREITO PROCESSUAL PENAL;5ª CCR - DIREITO PROCESSUAL PENAL;MIG - NÃO IDENTIFICADO NA MIGRAÇÃO;PFDC - NÃO IDENTIFICADO NA MIGRAÇÃO;5ª CCR - NÃO IDENTIFICADO NA MIGRAÇÃO</t>
  </si>
  <si>
    <t>PRM-JOINVILLE/SAD/PRM-SC - SETOR DE AUTUACAO E DISTRIBUICAO DA PRM/JOINVILLE</t>
  </si>
  <si>
    <t>13/09/2011</t>
  </si>
  <si>
    <t>13.09.2011 - PIC  1.00.000.012704/2011-31 (CRIM.), PGR-SEJUD</t>
  </si>
  <si>
    <t>1.00.000.012704/2011-31;100000012704201131</t>
  </si>
  <si>
    <t>1.00.000.012704/2011-31</t>
  </si>
  <si>
    <t>SCI - SECRETARIA DE COOPERAÇÃO JURÍDICA INTERNACIONAL;2ª CÂMARA - CRIMINAL;5ª CÂMARA - COMBATE À CORRUPÇÃO</t>
  </si>
  <si>
    <t>SCI - Crimes da Lei de licitações;2ª CCR - Crimes da Lei de licitações;5ª CCR - Crimes da Lei de licitações</t>
  </si>
  <si>
    <t>PR-AP/SEEXTJ/PRAP - SETOR EXTRAJUDICIAL DA PR/AP</t>
  </si>
  <si>
    <t>02/08/2012</t>
  </si>
  <si>
    <t>02.08.2012 - PIC  1.00.000.011295/2012-36 (CRIM.), PGR-SEJUD</t>
  </si>
  <si>
    <t>1.00.000.011295/2012-36;100000011295201236</t>
  </si>
  <si>
    <t>1.00.000.011295/2012-36</t>
  </si>
  <si>
    <t>SCI - SECRETARIA DE COOPERAÇÃO JURÍDICA INTERNACIONAL;2ª CÂMARA - CRIMINAL</t>
  </si>
  <si>
    <t>SCI - Crimes contra a vida;2ª CCR - Crimes contra a vida;SCI - Homicídio Qualificado;2ª CCR - Homicídio Qualificado</t>
  </si>
  <si>
    <t>PRM-MARABA/SJUR/PRM-PA -  SETOR JURIDICO DA PRM/MARABA</t>
  </si>
  <si>
    <t>04/09/2012</t>
  </si>
  <si>
    <t>04.09.2012 - PIC  1.00.000.013059/2012-54 (CRIM.), PGR-SEJUD</t>
  </si>
  <si>
    <t>1.00.000.013059/2012-54;100000013059201254</t>
  </si>
  <si>
    <t>1.00.000.013059/2012-54</t>
  </si>
  <si>
    <t>SCI - Redução a condição análoga à de escravo;2ª CCR - Redução a condição análoga à de escravo</t>
  </si>
  <si>
    <t>JF-ITZ - JF - SUBSEÇÃO JUDICIÁRIA DE IMPERATRIZ/MA</t>
  </si>
  <si>
    <t>04.09.2012 - PIC  1.00.000.013061/2012-23 (CRIM.), PGR-SEJUD</t>
  </si>
  <si>
    <t>1.00.000.013061/2012-23;100000013061201223</t>
  </si>
  <si>
    <t>1.00.000.013061/2012-23</t>
  </si>
  <si>
    <t>JF-RDO - SUBSEÇÃO JUDICIÁRIA DE REDENÇÃO</t>
  </si>
  <si>
    <t>05/09/2012</t>
  </si>
  <si>
    <t>05.09.2012 - PIC  1.00.000.013131/2012-43 (CRIM.), PGR-SEJUD</t>
  </si>
  <si>
    <t>1.00.000.013131/2012-43;100000013131201243</t>
  </si>
  <si>
    <t>1.00.000.013131/2012-43</t>
  </si>
  <si>
    <t>JF/MA - JUSTIÇA FEDERAL - SEÇÃO JUDICIÁRIA DO ESTADO DO MARANHÃO</t>
  </si>
  <si>
    <t>05.09.2012 - PIC  1.00.000.013155/2012-01 (CRIM.), PGR-SEJUD</t>
  </si>
  <si>
    <t>1.00.000.013155/2012-01;100000013155201201</t>
  </si>
  <si>
    <t>1.00.000.013155/2012-01</t>
  </si>
  <si>
    <t>PRM-BARREIRAS/SADM/PRM-BA -  SETOR ADMINISTRATIVO DA PRM/BARREIRAS</t>
  </si>
  <si>
    <t>06/09/2012</t>
  </si>
  <si>
    <t>06.09.2012 - PIC  1.00.000.013200/2012-19 (CRIM.), PGR-SEJUD</t>
  </si>
  <si>
    <t>1.00.000.013200/2012-19;100000013200201219</t>
  </si>
  <si>
    <t>1.00.000.013200/2012-19</t>
  </si>
  <si>
    <t>06.09.2012 - PIC  1.00.000.013203/2012-52 (CRIM.), PGR-SEJUD</t>
  </si>
  <si>
    <t>1.00.000.013203/2012-52;100000013203201252</t>
  </si>
  <si>
    <t>1.00.000.013203/2012-52</t>
  </si>
  <si>
    <t>10/09/2012</t>
  </si>
  <si>
    <t>10.09.2012 - PIC  1.00.000.013317/2012-01 (CRIM.), PGR-SEJUD</t>
  </si>
  <si>
    <t>1.00.000.013317/2012-01;100000013317201201</t>
  </si>
  <si>
    <t>1.00.000.013317/2012-01</t>
  </si>
  <si>
    <t>JF/BAR/BA - SUBSEÇÃO JUDICIÁRIA FEDERAL DE BARREIRAS/BA</t>
  </si>
  <si>
    <t>10.09.2012 - PIC  1.00.000.013320/2012-16 (CRIM.), PGR-SEJUD</t>
  </si>
  <si>
    <t>1.00.000.013320/2012-16;100000013320201216</t>
  </si>
  <si>
    <t>1.00.000.013320/2012-16</t>
  </si>
  <si>
    <t>27/11/2012</t>
  </si>
  <si>
    <t>27.11.2012 - PIC  1.00.000.017567/2012-10 (CRIM.), PGR-SEJUD</t>
  </si>
  <si>
    <t>1.00.000.017567/2012-10;100000017567201210</t>
  </si>
  <si>
    <t>1.00.000.017567/2012-10</t>
  </si>
  <si>
    <t>SCI - Crimes contra a Honra;2ª CCR - Crimes contra a Honra</t>
  </si>
  <si>
    <t>PR-SP/DICRIMEX/PRSP - DIVISÃO CRIMINAL EXTRAJUDICIAL DA PR/SP</t>
  </si>
  <si>
    <t>28/11/2012</t>
  </si>
  <si>
    <t>28.11.2012 - PIC  1.00.000.017609/2012-12 (CRIM.), PGR-SEJUD</t>
  </si>
  <si>
    <t>1.00.000.017609/2012-12;100000017609201212</t>
  </si>
  <si>
    <t>1.00.000.017609/2012-12</t>
  </si>
  <si>
    <t>PFDC - PROCURADORIA FEDERAL DOS DIREITOS DO CIDADÃO;2ª CÂMARA - CRIMINAL</t>
  </si>
  <si>
    <t>PFDC - DIREITO PENAL;2ª CCR - DIREITO PENAL</t>
  </si>
  <si>
    <t>PR-SC/SAG/PR-SC - SERVIÇO DE ARQUIVO GERAL DA PR/SC</t>
  </si>
  <si>
    <t>23/01/2013</t>
  </si>
  <si>
    <t>23.01.2013 - PIC  1.00.000.000974/2013-61 (CRIM.), PGR-SEJUD</t>
  </si>
  <si>
    <t>1.00.000.000974/2013-61;100000000974201361</t>
  </si>
  <si>
    <t>1.00.000.000974/2013-61</t>
  </si>
  <si>
    <t>PR-PA/GABPR16-OPC - OSWALDO POLL COSTA</t>
  </si>
  <si>
    <t>23.01.2013 - PIC  1.00.000.000976/2013-50 (CRIM.), PGR-SEJUD</t>
  </si>
  <si>
    <t>1.00.000.000976/2013-50;100000000976201350</t>
  </si>
  <si>
    <t>1.00.000.000976/2013-50</t>
  </si>
  <si>
    <t>JF-PGN - SUBSEÇÃO JUDICIÁRIA DE PARAGOMINAS</t>
  </si>
  <si>
    <t>24/01/2013</t>
  </si>
  <si>
    <t>24.01.2013 - PIC  1.00.000.000986/2013-95 (CRIM.), PGR-SEJUD</t>
  </si>
  <si>
    <t>1.00.000.000986/2013-95;100000000986201395</t>
  </si>
  <si>
    <t>1.00.000.000986/2013-95</t>
  </si>
  <si>
    <t>JF-ATM - JF-ATM - SUBSEÇÃO JUDICIÁRIA DE ALTAMIRA</t>
  </si>
  <si>
    <t>24.01.2013 - PIC  1.00.000.000997/2013-75 (CRIM.), PGR-SEJUD</t>
  </si>
  <si>
    <t>1.00.000.000997/2013-75;100000000997201375</t>
  </si>
  <si>
    <t>1.00.000.000997/2013-75</t>
  </si>
  <si>
    <t>PRM-P.GROSSA/SUBJUR/PRM-PR - SUBCOORDENADORIA JURIDICA DA PRM/PONTA GROSSA</t>
  </si>
  <si>
    <t>30/01/2013</t>
  </si>
  <si>
    <t>30.01.2013 - PIC  1.00.000.001370/2013-31 (T. COLETIVA), PGR-SEJUD</t>
  </si>
  <si>
    <t>1.00.000.001370/2013-31;100000001370201331</t>
  </si>
  <si>
    <t>1.00.000.001370/2013-31</t>
  </si>
  <si>
    <t>JF/UMU/1 - JUSTIÇA FEDERAL - 1ª VARA DA SUBSEÇÃO JUDICIÁRIA DE UMUARAMA</t>
  </si>
  <si>
    <t>04/02/2013</t>
  </si>
  <si>
    <t>04.02.2013 - PIC  1.00.000.001500/2013-36 (CRIM.), PGR-SEJUD</t>
  </si>
  <si>
    <t>1.00.000.001500/2013-36;100000001500201336</t>
  </si>
  <si>
    <t>1.00.000.001500/2013-36</t>
  </si>
  <si>
    <t>JF/AM - JUSTIÇA FEDERAL DO AMAZONAS</t>
  </si>
  <si>
    <t>05/02/2013</t>
  </si>
  <si>
    <t>05.02.2013 - PIC  1.00.000.001588/2013-96 (CRIM.), PGR-SEJUD</t>
  </si>
  <si>
    <t>1.00.000.001588/2013-96;100000001588201396</t>
  </si>
  <si>
    <t>1.00.000.001588/2013-96</t>
  </si>
  <si>
    <t>PR-AM/COJUD/PRAM - COORDENADORIA JURÍDICA E DE DOCUMENTAÇÃO DA PR/AM</t>
  </si>
  <si>
    <t>05.02.2013 - PIC  1.00.000.001590/2013-65 (CRIM.), PGR-SEJUD</t>
  </si>
  <si>
    <t>1.00.000.001590/2013-65;100000001590201365</t>
  </si>
  <si>
    <t>1.00.000.001590/2013-65</t>
  </si>
  <si>
    <t>06/02/2013</t>
  </si>
  <si>
    <t>06.02.2013 - PIC  1.00.000.001639/2013-80 (CRIM.), PGR-SEJUD</t>
  </si>
  <si>
    <t>1.00.000.001639/2013-80;100000001639201380</t>
  </si>
  <si>
    <t>1.00.000.001639/2013-80</t>
  </si>
  <si>
    <t>JF-STM - SUBSEÇÃO JUDICIÁRIA DE SANTARÉM</t>
  </si>
  <si>
    <t>06.02.2013 - PIC  1.00.000.001641/2013-59 (CRIM.), PGR-SEJUD</t>
  </si>
  <si>
    <t>1.00.000.001641/2013-59;100000001641201359</t>
  </si>
  <si>
    <t>1.00.000.001641/2013-59</t>
  </si>
  <si>
    <t>06.02.2013 - PIC  1.00.000.001658/2013-14 (CRIM.), PGR-SEJUD</t>
  </si>
  <si>
    <t>1.00.000.001658/2013-14;100000001658201314</t>
  </si>
  <si>
    <t>1.00.000.001658/2013-14</t>
  </si>
  <si>
    <t>JF-ATM - SUBSEÇÃO JUDICIÁRIA DE ALTAMIRA</t>
  </si>
  <si>
    <t>07/02/2013</t>
  </si>
  <si>
    <t>07.02.2013 - PIC  1.00.000.001756/2013-43 (CRIM.), PGR-SEJUD</t>
  </si>
  <si>
    <t>1.00.000.001756/2013-43;100000001756201343</t>
  </si>
  <si>
    <t>1.00.000.001756/2013-43</t>
  </si>
  <si>
    <t>JUSTIÇA ESTADUAL</t>
  </si>
  <si>
    <t>04/04/2013</t>
  </si>
  <si>
    <t>04.04.2013 - PIC  1.00.000.004674/2013-51 (CRIM.), PGR-SEJUD</t>
  </si>
  <si>
    <t>1.00.000.004674/2013-51;100000004674201351</t>
  </si>
  <si>
    <t>1.00.000.004674/2013-51</t>
  </si>
  <si>
    <t>PR-PA/SAG/PR-PA - SERVIÇO DE ARQUIVO GERAL DA PR/PA</t>
  </si>
  <si>
    <t>04.04.2013 - PIC  1.00.000.004678/2013-39 (CRIM.), PGR-SEJUD</t>
  </si>
  <si>
    <t>1.00.000.004678/2013-39;100000004678201339</t>
  </si>
  <si>
    <t>1.00.000.004678/2013-39</t>
  </si>
  <si>
    <t>TRF1 - TRIBUNAL REGIONAL FEDERAL DA 1ª REGIÃO</t>
  </si>
  <si>
    <t>10/09/2013</t>
  </si>
  <si>
    <t>10.09.2013 - PIC  1.00.000.012461/2013-01 (CRIM.), PGR-SEJUD</t>
  </si>
  <si>
    <t>1.00.000.012461/2013-01;100000012461201301</t>
  </si>
  <si>
    <t>1.00.000.012461/2013-01</t>
  </si>
  <si>
    <t>JF/SP - JUSTIÇA FEDERAL - SEÇÃO JUDICIÁRIA DO ESTADO DE SÃO PAULO/SP</t>
  </si>
  <si>
    <t>10.09.2013 - PIC  1.00.000.012469/2013-69 (CRIM.), PGR-SEJUD</t>
  </si>
  <si>
    <t>1.00.000.012469/2013-69;100000012469201369</t>
  </si>
  <si>
    <t>1.00.000.012469/2013-69</t>
  </si>
  <si>
    <t>JF - JUSTIÇA FEDERAL - SUBSEÇÃO JUDICIÁRIA DE VILHENA</t>
  </si>
  <si>
    <t>10.09.2013 - PIC  1.00.000.012477/2013-13 (CRIM.), PGR-SEJUD</t>
  </si>
  <si>
    <t>1.00.000.012477/2013-13;100000012477201313</t>
  </si>
  <si>
    <t>1.00.000.012477/2013-13</t>
  </si>
  <si>
    <t>JF/PR/PAT - JUSTIÇA FEDERAL - SUBSEÇÃO JUDICIÁRIA DE PATO BRANCO/PR</t>
  </si>
  <si>
    <t>10.09.2013 - PIC  1.00.000.012478/2013-50 (CRIM.), PGR-SEJUD</t>
  </si>
  <si>
    <t>1.00.000.012478/2013-50;100000012478201350</t>
  </si>
  <si>
    <t>1.00.000.012478/2013-50</t>
  </si>
  <si>
    <t>10.09.2013 - PIC  1.00.000.012479/2013-02 (CRIM.), PGR-SEJUD</t>
  </si>
  <si>
    <t>1.00.000.012479/2013-02;100000012479201302</t>
  </si>
  <si>
    <t>1.00.000.012479/2013-02</t>
  </si>
  <si>
    <t>11/09/2013</t>
  </si>
  <si>
    <t>11.09.2013 - PIC  1.00.000.012526/2013-18 (CRIM.), PGR-SEJUD</t>
  </si>
  <si>
    <t>1.00.000.012526/2013-18;100000012526201318</t>
  </si>
  <si>
    <t>1.00.000.012526/2013-18</t>
  </si>
  <si>
    <t>JF-MBA - SUBSEÇÃO JUDICIÁRIA DE MARABÁ</t>
  </si>
  <si>
    <t>12/09/2013</t>
  </si>
  <si>
    <t>12.09.2013 - PIC  1.00.000.012605/2013-11 (CRIM.), PGR-SEJUD</t>
  </si>
  <si>
    <t>1.00.000.012605/2013-11;100000012605201311</t>
  </si>
  <si>
    <t>1.00.000.012605/2013-11</t>
  </si>
  <si>
    <t>02/10/2013</t>
  </si>
  <si>
    <t>02.10.2013 - PIC  1.00.000.013694/2013-12 (CRIM.), PGR-SEJUD</t>
  </si>
  <si>
    <t>1.00.000.013694/2013-12;100000013694201312</t>
  </si>
  <si>
    <t>1.00.000.013694/2013-12</t>
  </si>
  <si>
    <t>DPF/ITZ/MA - DELEGACIA DE POLÍCIA FEDERAL EM IMPERATRIZ/MA</t>
  </si>
  <si>
    <t>04/10/2013</t>
  </si>
  <si>
    <t>04.10.2013 - PIC  1.00.000.013919/2013-31 (CRIM.), PGR-SEJUD</t>
  </si>
  <si>
    <t>1.00.000.013919/2013-31;100000013919201331</t>
  </si>
  <si>
    <t>1.00.000.013919/2013-31</t>
  </si>
  <si>
    <t>DPF/URA - DELEGACIA DE POLÍCIA FEDERAL DE UBERABA/MG</t>
  </si>
  <si>
    <t>07/10/2013</t>
  </si>
  <si>
    <t>07.10.2013 - PIC  1.00.000.014015/2013-22 (CRIM.), PGR-SEJUD</t>
  </si>
  <si>
    <t>1.00.000.014015/2013-22;100000014015201322</t>
  </si>
  <si>
    <t>1.00.000.014015/2013-22</t>
  </si>
  <si>
    <t>PRM-LONDRINA/SAD/PRM-PR - SETOR DE AUTUACAO E DISTRIBUICAO DA PRM/LONDRINA</t>
  </si>
  <si>
    <t>07.10.2013 - PIC  1.00.000.014022/2013-24 (CRIM.), PGR-SEJUD</t>
  </si>
  <si>
    <t>1.00.000.014022/2013-24;100000014022201324</t>
  </si>
  <si>
    <t>1.00.000.014022/2013-24</t>
  </si>
  <si>
    <t>12/12/2013</t>
  </si>
  <si>
    <t>12.12.2013 - PIC  1.00.000.017591/2013-21 (CRIM.), PGR-SEJUD</t>
  </si>
  <si>
    <t>1.00.000.017591/2013-21;100000017591201321</t>
  </si>
  <si>
    <t>1.00.000.017591/2013-21</t>
  </si>
  <si>
    <t>SCI - SECRETARIA DE COOPERAÇÃO JURÍDICA INTERNACIONAL;PFDC - PROCURADORIA FEDERAL DOS DIREITOS DO CIDADÃO</t>
  </si>
  <si>
    <t>SCI - Cooperação Internacional;PFDC - Cooperação Internacional</t>
  </si>
  <si>
    <t>PR-SP/COJUD/PRSP - COORDENADORIA JURÍDICA E DE DOCUMENTAÇÃO DA PR/SP</t>
  </si>
  <si>
    <t>16/12/2013</t>
  </si>
  <si>
    <t>16.12.2013 - PIC  1.00.000.017765/2013-56 (CRIM.), PGR-SEJUD</t>
  </si>
  <si>
    <t>1.00.000.017765/2013-56;100000017765201356</t>
  </si>
  <si>
    <t>1.00.000.017765/2013-56</t>
  </si>
  <si>
    <t>16.12.2013 - PIC  1.00.000.017770/2013-69 (CRIM.), PGR-SEJUD</t>
  </si>
  <si>
    <t>1.00.000.017770/2013-69;100000017770201369</t>
  </si>
  <si>
    <t>1.00.000.017770/2013-69</t>
  </si>
  <si>
    <t>SR-DPF/ITZ - DEPARTAMENTO DE POLÍCIA FEDERAL EM IMPERATRIZ</t>
  </si>
  <si>
    <t>16.12.2013 - PIC  1.00.000.017775/2013-91 (CRIM.), PGR-SEJUD</t>
  </si>
  <si>
    <t>1.00.000.017775/2013-91;100000017775201391</t>
  </si>
  <si>
    <t>1.00.000.017775/2013-91</t>
  </si>
  <si>
    <t>JF/IMP/MA - JUSTIÇA FEDERAL - SUBSEÇÃO JUDICIÁRIA DE IMPERATRIZ/MA</t>
  </si>
  <si>
    <t>17/12/2013</t>
  </si>
  <si>
    <t>17.12.2013 - PIC  1.00.000.017867/2013-71 (CRIM.), PGR-SEJUD</t>
  </si>
  <si>
    <t>1.00.000.017867/2013-71;100000017867201371</t>
  </si>
  <si>
    <t>1.00.000.017867/2013-71</t>
  </si>
  <si>
    <t>DPF/ATM/PA - DELEGACIA DE POLÍCIA FEDERAL EM ALTAMIRA/PA</t>
  </si>
  <si>
    <t>17.12.2013 - PIC  1.00.000.017868/2013-16 (CRIM.), PGR-SEJUD</t>
  </si>
  <si>
    <t>1.00.000.017868/2013-16;100000017868201316</t>
  </si>
  <si>
    <t>1.00.000.017868/2013-16</t>
  </si>
  <si>
    <t>17.12.2013 - PIC  1.00.000.017920/2013-34 (CRIM.), PGR-SEJUD</t>
  </si>
  <si>
    <t>1.00.000.017920/2013-34;100000017920201334</t>
  </si>
  <si>
    <t>1.00.000.017920/2013-34</t>
  </si>
  <si>
    <t>JF-TUU - SUBSEÇÃO JUDICIÁRIA DE TUCURUÍ</t>
  </si>
  <si>
    <t>18/12/2013</t>
  </si>
  <si>
    <t>18.12.2013 - PIC  1.00.000.018059/2013-21 (CRIM.), PGR-SEJUD</t>
  </si>
  <si>
    <t>1.00.000.018059/2013-21;100000018059201321</t>
  </si>
  <si>
    <t>1.00.000.018059/2013-21</t>
  </si>
  <si>
    <t>JF-GO - JUSTIÇA FEDERAL DO ESTADO DE GOIÁS</t>
  </si>
  <si>
    <t>06/05/2014</t>
  </si>
  <si>
    <t>06.05.2014 - PIC  1.00.000.006432/2014-82 (CRIM.), PGR-SEJUD</t>
  </si>
  <si>
    <t>1.00.000.006432/2014-82;100000006432201482</t>
  </si>
  <si>
    <t>1.00.000.006432/2014-82</t>
  </si>
  <si>
    <t>07/05/2014</t>
  </si>
  <si>
    <t>07.05.2014 - PIC  1.00.000.006452/2014-53 (CRIM.), PGR-SEJUD</t>
  </si>
  <si>
    <t>1.00.000.006452/2014-53;100000006452201453</t>
  </si>
  <si>
    <t>1.00.000.006452/2014-53</t>
  </si>
  <si>
    <t>08/05/2014</t>
  </si>
  <si>
    <t>08.05.2014 - PIC  1.00.000.006535/2014-42 (CRIM.), PGR-SEJUD</t>
  </si>
  <si>
    <t>1.00.000.006535/2014-42;100000006535201442</t>
  </si>
  <si>
    <t>1.00.000.006535/2014-42</t>
  </si>
  <si>
    <t>08.05.2014 - PIC  1.00.000.006553/2014-24 (CRIM.), PGR-SEJUD</t>
  </si>
  <si>
    <t>1.00.000.006553/2014-24;100000006553201424</t>
  </si>
  <si>
    <t>1.00.000.006553/2014-24</t>
  </si>
  <si>
    <t>JFRJ/SJM - JUSTIÇA FEDERAL DE SÃO JOÃO DE MERITI</t>
  </si>
  <si>
    <t>09/05/2014</t>
  </si>
  <si>
    <t>09.05.2014 - PIC  1.00.000.006604/2014-18 (CRIM.), PGR-SEJUD</t>
  </si>
  <si>
    <t>1.00.000.006604/2014-18;100000006604201418</t>
  </si>
  <si>
    <t>1.00.000.006604/2014-18</t>
  </si>
  <si>
    <t>SR/DPF/RJ - MJ - DPF- SUPERINTENDÊNCIA REGIONAL NO ESTADO DO RIO DE JANEIRO</t>
  </si>
  <si>
    <t>09.05.2014 - PIC  1.00.000.006606/2014-15 (CRIM.), PGR-SEJUD</t>
  </si>
  <si>
    <t>1.00.000.006606/2014-15;100000006606201415</t>
  </si>
  <si>
    <t>1.00.000.006606/2014-15</t>
  </si>
  <si>
    <t>13/05/2014</t>
  </si>
  <si>
    <t>13.05.2014 - PIC  1.00.000.006720/2014-37 (CRIM.), PGR-SEJUD</t>
  </si>
  <si>
    <t>1.00.000.006720/2014-37;100000006720201437</t>
  </si>
  <si>
    <t>1.00.000.006720/2014-37</t>
  </si>
  <si>
    <t>PRM-DOURADOS/SUBJUR/PRM-MS -  SUBCOORDENADORIA JURIDICA DA PRM/DOURADOS</t>
  </si>
  <si>
    <t>14/05/2014</t>
  </si>
  <si>
    <t>14.05.2014 - PIC  1.00.000.006881/2014-21 (CRIM.), PGR-SEJUD</t>
  </si>
  <si>
    <t>1.00.000.006881/2014-21;100000006881201421</t>
  </si>
  <si>
    <t>1.00.000.006881/2014-21</t>
  </si>
  <si>
    <t>PRM-ALTAMIRA-PA/SJUR/PRM-PA -  SETOR JURIDICO DA PRM/ALTAMIRA</t>
  </si>
  <si>
    <t>14.05.2014 - PIC  1.00.000.006883/2014-10 (CRIM.), PGR-SEJUD</t>
  </si>
  <si>
    <t>1.00.000.006883/2014-10;100000006883201410</t>
  </si>
  <si>
    <t>1.00.000.006883/2014-10</t>
  </si>
  <si>
    <t>DPF/PA - DELEGACIA DE POLÍCIA FEDERAL - SUPERINTENDÊNCIA REGIONAL NO PARÁ</t>
  </si>
  <si>
    <t>06/08/2014</t>
  </si>
  <si>
    <t>06.08.2014 - PIC  1.00.000.011331/2014-23 (CRIM.), PGR-SEJUD</t>
  </si>
  <si>
    <t>1.00.000.011331/2014-23;100000011331201423</t>
  </si>
  <si>
    <t>1.00.000.011331/2014-23</t>
  </si>
  <si>
    <t>07/08/2014</t>
  </si>
  <si>
    <t>07.08.2014 - PIC  1.00.000.011497/2014-40 (CRIM.), PGR-SEJUD</t>
  </si>
  <si>
    <t>1.00.000.011497/2014-40;100000011497201440</t>
  </si>
  <si>
    <t>1.00.000.011497/2014-40</t>
  </si>
  <si>
    <t>DPF/MA - DEPARTAMENTO DE POLÍCIA FEDERAL - SUPERINTENDÊNCIA REGIONAL DO MARANHÃO</t>
  </si>
  <si>
    <t>07.08.2014 - PIC  1.00.000.011504/2014-11 (CRIM.), PGR-SEJUD</t>
  </si>
  <si>
    <t>1.00.000.011504/2014-11;100000011504201411</t>
  </si>
  <si>
    <t>1.00.000.011504/2014-11</t>
  </si>
  <si>
    <t>08/08/2014</t>
  </si>
  <si>
    <t>08.08.2014 - PIC  1.00.000.011524/2014-84 (CRIM.), PGR-SEJUD</t>
  </si>
  <si>
    <t>1.00.000.011524/2014-84;100000011524201484</t>
  </si>
  <si>
    <t>1.00.000.011524/2014-84</t>
  </si>
  <si>
    <t>13/08/2014</t>
  </si>
  <si>
    <t>13.08.2014 - PIC  1.00.000.011760/2014-09 (CRIM.), PGR-SEJUD</t>
  </si>
  <si>
    <t>1.00.000.011760/2014-09;100000011760201409</t>
  </si>
  <si>
    <t>1.00.000.011760/2014-09</t>
  </si>
  <si>
    <t>JF-AM - JUSTIÇA FEDERAL - SUBSEÇÃO JUDICIÁRIA DE MANAUS/AM</t>
  </si>
  <si>
    <t>14/08/2014</t>
  </si>
  <si>
    <t>14.08.2014 - PIC  1.00.000.011773/2014-70 (CRIM.), PGR-SEJUD</t>
  </si>
  <si>
    <t>1.00.000.011773/2014-70;100000011773201470</t>
  </si>
  <si>
    <t>1.00.000.011773/2014-70</t>
  </si>
  <si>
    <t>14.08.2014 - PIC  1.00.000.011818/2014-14 (CRIM.), PGR-SEJUD</t>
  </si>
  <si>
    <t>1.00.000.011818/2014-14;100000011818201414</t>
  </si>
  <si>
    <t>1.00.000.011818/2014-14</t>
  </si>
  <si>
    <t>14.08.2014 - PIC  1.00.000.011835/2014-43 (CRIM.), PGR-SEJUD</t>
  </si>
  <si>
    <t>1.00.000.011835/2014-43;100000011835201443</t>
  </si>
  <si>
    <t>1.00.000.011835/2014-43</t>
  </si>
  <si>
    <t>JF/TLS - JUSTIÇA FEDERAL TRÊS LAGOAS MS</t>
  </si>
  <si>
    <t>22/08/2014</t>
  </si>
  <si>
    <t>22.08.2014 - PIC  1.00.000.012321/2014-13 (CRIM.), PGR-GABPGR</t>
  </si>
  <si>
    <t>1.00.000.012321/2014-13;100000012321201413</t>
  </si>
  <si>
    <t>1.00.000.012321/2014-13</t>
  </si>
  <si>
    <t>PGR-GABINETE DO PROCURADOR-GERAL DA REPÚBLICA</t>
  </si>
  <si>
    <t>SCI - Auxílio Direto;PFDC - Auxílio Direto</t>
  </si>
  <si>
    <t>MPE/PA - MINISTÉRIO PÚBLICO DO ESTADO DO PARÁ - MPE/PA</t>
  </si>
  <si>
    <t>25/08/2014</t>
  </si>
  <si>
    <t>25.08.2014 - PIC  1.00.000.012407/2014-38 (CRIM.), PGR-SEJUD</t>
  </si>
  <si>
    <t>1.00.000.012407/2014-38;100000012407201438</t>
  </si>
  <si>
    <t>1.00.000.012407/2014-38</t>
  </si>
  <si>
    <t>25.08.2014 - PIC  1.00.000.012424/2014-75 (CRIM.), PGR-SEJUD</t>
  </si>
  <si>
    <t>1.00.000.012424/2014-75;100000012424201475</t>
  </si>
  <si>
    <t>1.00.000.012424/2014-75</t>
  </si>
  <si>
    <t>SCI - Falsificação de documento público;2ª CCR - Falsificação de documento público</t>
  </si>
  <si>
    <t>25.08.2014 - PIC  1.00.000.012426/2014-64 (CRIM.), PGR-SEJUD</t>
  </si>
  <si>
    <t>1.00.000.012426/2014-64;100000012426201464</t>
  </si>
  <si>
    <t>1.00.000.012426/2014-64</t>
  </si>
  <si>
    <t>25.08.2014 - PIC  1.00.000.012427/2014-17 (CRIM.), PGR-SEJUD</t>
  </si>
  <si>
    <t>1.00.000.012427/2014-17;100000012427201417</t>
  </si>
  <si>
    <t>1.00.000.012427/2014-17</t>
  </si>
  <si>
    <t>30/10/2014</t>
  </si>
  <si>
    <t>30.10.2014 - PIC  1.00.000.015748/2014-65 (CRIM.), PGR-SEJUD</t>
  </si>
  <si>
    <t>1.00.000.015748/2014-65;100000015748201465</t>
  </si>
  <si>
    <t>1.00.000.015748/2014-65</t>
  </si>
  <si>
    <t>JF/ES-LIN - JUSTIÇA FEDERAL/ES - VARA FEDERAL DE LINHARES</t>
  </si>
  <si>
    <t>10/11/2014</t>
  </si>
  <si>
    <t>10.11.2014 - PIC  1.00.000.016264/2014-33 (CRIM.), PGR-GABPGR</t>
  </si>
  <si>
    <t>1.00.000.016264/2014-33;100000016264201433</t>
  </si>
  <si>
    <t>1.00.000.016264/2014-33</t>
  </si>
  <si>
    <t>SCI - Fraude processual;2ª CCR - Fraude processual;SCI - Crimes de Responsabilidade;2ª CCR - Crimes de Responsabilidade;5ª CCR - Crimes de Responsabilidade;2ª CCR - Coação no curso do processo</t>
  </si>
  <si>
    <t>MPE/MS</t>
  </si>
  <si>
    <t>20/01/2015</t>
  </si>
  <si>
    <t>20.01.2015 - PIC  1.00.000.000747/2015-05 (CRIM.), PGR-SEJUD</t>
  </si>
  <si>
    <t>1.00.000.000747/2015-05;100000000747201505</t>
  </si>
  <si>
    <t>1.00.000.000747/2015-05</t>
  </si>
  <si>
    <t>21/01/2015</t>
  </si>
  <si>
    <t>21.01.2015 - PIC  1.00.000.000758/2015-87 (CRIM.), PGR-SEJUD</t>
  </si>
  <si>
    <t>1.00.000.000758/2015-87;100000000758201587</t>
  </si>
  <si>
    <t>1.00.000.000758/2015-87</t>
  </si>
  <si>
    <t>PR-RR/SAG/PR-RR - SERVIÇO DE ARQUIVO GERAL DA PR/RR</t>
  </si>
  <si>
    <t>21.01.2015 - PIC  1.00.000.000759/2015-21 (CRIM.), PGR-SEJUD</t>
  </si>
  <si>
    <t>1.00.000.000759/2015-21;100000000759201521</t>
  </si>
  <si>
    <t>1.00.000.000759/2015-21</t>
  </si>
  <si>
    <t>SPF/RR - SUPERINTENDÊNCIA REGIONAL DA POLÍCIA FEDERAL EM RORAIMA</t>
  </si>
  <si>
    <t>22/01/2015</t>
  </si>
  <si>
    <t>22.01.2015 - PIC  1.00.000.000895/2015-11 (CRIM.), PGR-SEJUD</t>
  </si>
  <si>
    <t>1.00.000.000895/2015-11;100000000895201511</t>
  </si>
  <si>
    <t>1.00.000.000895/2015-11</t>
  </si>
  <si>
    <t>PR-SP/DICRIMJ/PRSP - DIVISÃO CRIMINAL JUDICIAL DA PR/SP</t>
  </si>
  <si>
    <t>26/01/2015</t>
  </si>
  <si>
    <t>26.01.2015 - PIC  1.00.000.001140/2015-34 (CRIM.), PGR-SEJUD</t>
  </si>
  <si>
    <t>1.00.000.001140/2015-34;100000001140201534</t>
  </si>
  <si>
    <t>1.00.000.001140/2015-34</t>
  </si>
  <si>
    <t>JF-CAH - SUBSEÇÃO JUDICIÁRIA DE CASTANHAL</t>
  </si>
  <si>
    <t>26.01.2015 - PIC  1.00.000.001142/2015-23 (CRIM.), PGR-SEJUD</t>
  </si>
  <si>
    <t>1.00.000.001142/2015-23;100000001142201523</t>
  </si>
  <si>
    <t>1.00.000.001142/2015-23</t>
  </si>
  <si>
    <t>26.01.2015 - PIC  1.00.000.001144/2015-12 (CRIM.), PGR-SEJUD</t>
  </si>
  <si>
    <t>1.00.000.001144/2015-12;100000001144201512</t>
  </si>
  <si>
    <t>1.00.000.001144/2015-12</t>
  </si>
  <si>
    <t>27/01/2015</t>
  </si>
  <si>
    <t>27.01.2015 - PIC  1.00.000.001261/2015-86 (CRIM.), PGR-SEJUD</t>
  </si>
  <si>
    <t>1.00.000.001261/2015-86;100000001261201586</t>
  </si>
  <si>
    <t>1.00.000.001261/2015-86</t>
  </si>
  <si>
    <t>JF/PMS - JUSTIÇA FEDERAL - SUBSEÇÃO JUDICIÁRIA DE PATOS DE MINAS/MG</t>
  </si>
  <si>
    <t>25/03/2015</t>
  </si>
  <si>
    <t>25.03.2015 - PIC  1.00.000.004166/2015-34 (CRIM.), PGR-GABPGR</t>
  </si>
  <si>
    <t>1.00.000.004166/2015-34;100000004166201534</t>
  </si>
  <si>
    <t>1.00.000.004166/2015-34</t>
  </si>
  <si>
    <t>SCI - SECRETARIA DE COOPERAÇÃO JURÍDICA INTERNACIONAL;5ª CÂMARA - COMBATE À CORRUPÇÃO;PROCURADORIA GERAL DA REPÚBLICA</t>
  </si>
  <si>
    <t>SCI - Advocacia administrativa;5ª CCR - Advocacia administrativa;PGR - Ministros de Estado</t>
  </si>
  <si>
    <t>PR-DF/SARMCRIM/PRDF - SETOR DE ARMAZENAMENTO - CRIMINAL</t>
  </si>
  <si>
    <t>10/04/2015</t>
  </si>
  <si>
    <t>10.04.2015 - PIC  1.00.000.004781/2015-41 (CRIM.), PGR-SEJUD</t>
  </si>
  <si>
    <t>1.00.000.004781/2015-41;100000004781201541</t>
  </si>
  <si>
    <t>1.00.000.004781/2015-41</t>
  </si>
  <si>
    <t>14/04/2015</t>
  </si>
  <si>
    <t>14.04.2015 - PIC  1.00.000.004963/2015-11 (CRIM.), PGR-SEJUD</t>
  </si>
  <si>
    <t>1.00.000.004963/2015-11;100000004963201511</t>
  </si>
  <si>
    <t>1.00.000.004963/2015-11</t>
  </si>
  <si>
    <t>14.04.2015 - PIC  1.00.000.004994/2015-72 (CRIM.), PGR-SEJUD</t>
  </si>
  <si>
    <t>1.00.000.004994/2015-72;100000004994201572</t>
  </si>
  <si>
    <t>1.00.000.004994/2015-72</t>
  </si>
  <si>
    <t>23/04/2015</t>
  </si>
  <si>
    <t>23.04.2015 - PIC  1.00.000.005358/2015-68 (CRIM.), PGR-GABPGR</t>
  </si>
  <si>
    <t>1.00.000.005358/2015-68;100000005358201568</t>
  </si>
  <si>
    <t>1.00.000.005358/2015-68</t>
  </si>
  <si>
    <t>SCI - Corrupção ativa;2ª CCR - Corrupção ativa;5ª CCR - Corrupção ativa</t>
  </si>
  <si>
    <t>13/05/2015</t>
  </si>
  <si>
    <t>13.05.2015 - PIC  1.00.000.006463/2015-14 (CRIM.), PGR-GABPGR</t>
  </si>
  <si>
    <t>1.00.000.006463/2015-14;100000006463201514</t>
  </si>
  <si>
    <t>1.00.000.006463/2015-14</t>
  </si>
  <si>
    <t>PROCURADORIA GERAL DA REPÚBLICA</t>
  </si>
  <si>
    <t>PGR - Deputados</t>
  </si>
  <si>
    <t>DPF/CE - POLICIA FEDERAL NO CEARÁ</t>
  </si>
  <si>
    <t>11/06/2015</t>
  </si>
  <si>
    <t>11.06.2015 - PIC  1.00.000.007925/2015-11 (CRIM.), PGR-GABPGR</t>
  </si>
  <si>
    <t>1.00.000.007925/2015-11;100000007925201511</t>
  </si>
  <si>
    <t>1.00.000.007925/2015-11</t>
  </si>
  <si>
    <t>06/08/2015</t>
  </si>
  <si>
    <t>06.08.2015 - PIC  1.00.000.011557/2015-13 (CRIM.), PGR-SEJUD</t>
  </si>
  <si>
    <t>1.00.000.011557/2015-13;100000011557201513</t>
  </si>
  <si>
    <t>1.00.000.011557/2015-13</t>
  </si>
  <si>
    <t>SCI - Latrocínio;2ª CCR - Latrocínio</t>
  </si>
  <si>
    <t>PRM-SINOP/SJUR/PRM-MT - SETOR JURIDICO DA PRM/SINOP</t>
  </si>
  <si>
    <t>24/08/2015</t>
  </si>
  <si>
    <t>24.08.2015 - PIC  1.00.000.012571/2015-26 (CRIM.), PGR-GABPGR</t>
  </si>
  <si>
    <t>1.00.000.012571/2015-26;100000012571201526</t>
  </si>
  <si>
    <t>1.00.000.012571/2015-26</t>
  </si>
  <si>
    <t>SCI - Assistência a Estrangeiros no Brasil;PFDC - Assistência a Estrangeiros no Brasil</t>
  </si>
  <si>
    <t>09/09/2015</t>
  </si>
  <si>
    <t>09.09.2015 - PIC  1.00.000.013451/2015-46 (CRIM.), PGR-GABPGR</t>
  </si>
  <si>
    <t>1.00.000.013451/2015-46;100000013451201546</t>
  </si>
  <si>
    <t>1.00.000.013451/2015-46</t>
  </si>
  <si>
    <t>2ª CÂMARA - CRIMINAL;PROCURADORIA GERAL DA REPÚBLICA</t>
  </si>
  <si>
    <t>2ª CCR - Falsidade ideológica (art. 299);PGR - Desembargadores dos Tribunais Regionais Eleitorais</t>
  </si>
  <si>
    <t>PR-RN/SEEXTJ/PRRN - SETOR EXTRAJUDICIAL DA PR/RN</t>
  </si>
  <si>
    <t>30/09/2015</t>
  </si>
  <si>
    <t>30.09.2015 - PIC  1.00.000.014652/2015-61 (CRIM.), PGR-GABPGR</t>
  </si>
  <si>
    <t>1.00.000.014652/2015-61;100000014652201561</t>
  </si>
  <si>
    <t>1.00.000.014652/2015-61</t>
  </si>
  <si>
    <t>08/10/2015</t>
  </si>
  <si>
    <t>08.10.2015 - PIC  1.00.000.015112/2015-02 (CRIM.), PGR-GABPGR</t>
  </si>
  <si>
    <t>1.00.000.015112/2015-02;100000015112201502</t>
  </si>
  <si>
    <t>1.00.000.015112/2015-02</t>
  </si>
  <si>
    <t>SCI - Corrupção passiva;5ª CCR - Corrupção passiva;PGR - Presidente da República</t>
  </si>
  <si>
    <t>JF/DF - JUSTICA FEDERAL SECAO JUDICIARIA DO DISTRITO FEDERAL</t>
  </si>
  <si>
    <t>20/10/2015</t>
  </si>
  <si>
    <t>20.10.2015 - PIC  1.00.000.015748/2015-46 (CRIM.), PGR-SEJUD</t>
  </si>
  <si>
    <t>1.00.000.015748/2015-46;100000015748201546</t>
  </si>
  <si>
    <t>1.00.000.015748/2015-46</t>
  </si>
  <si>
    <t>PR-RJ/SEARQ/PRRJ - SECAO DE ARQUIVO GERAL DA PR/RJ</t>
  </si>
  <si>
    <t>05/11/2015</t>
  </si>
  <si>
    <t>05.11.2015 - PIC  1.00.000.016527/2015-95 (CRIM.), PGR-SEJUD</t>
  </si>
  <si>
    <t>1.00.000.016527/2015-95;100000016527201595</t>
  </si>
  <si>
    <t>1.00.000.016527/2015-95</t>
  </si>
  <si>
    <t>SCI - Frustração de direitos assegurados por lei trabalhista;2ª CCR - Frustração de direitos assegurados por lei trabalhista</t>
  </si>
  <si>
    <t>12ª DPR - 12ª REGIONAL DA POLÍCIA CIVIL - SANTANA DO LIVRAMENTO/RS</t>
  </si>
  <si>
    <t>06/11/2015</t>
  </si>
  <si>
    <t>06.11.2015 - PIC  1.00.000.016638/2015-00 (CRIM.), PGR-SEJUD</t>
  </si>
  <si>
    <t>1.00.000.016638/2015-00;100000016638201500</t>
  </si>
  <si>
    <t>1.00.000.016638/2015-00</t>
  </si>
  <si>
    <t>04/12/2015</t>
  </si>
  <si>
    <t>04.12.2015 - PIC  1.00.000.018180/2015-15 (CRIM.), PGR-GABPGR</t>
  </si>
  <si>
    <t>1.00.000.018180/2015-15;100000018180201515</t>
  </si>
  <si>
    <t>1.00.000.018180/2015-15</t>
  </si>
  <si>
    <t>SCI - SECRETARIA DE COOPERAÇÃO JURÍDICA INTERNACIONAL;5ª CÂMARA - COMBATE À CORRUPÇÃO;2ª CÂMARA - CRIMINAL;PROCURADORIA GERAL DA REPÚBLICA</t>
  </si>
  <si>
    <t>SCI - Prevaricação;5ª CCR - Prevaricação;SCI - Desobediência a decisão judicial sobre perda ou suspensão de direitos;2ª CCR - Desobediência a decisão judicial sobre perda ou suspensão de direitos;PGR - Ministros de Estado</t>
  </si>
  <si>
    <t>JF/MS - JUSTICA FEDERAL DE PRIMEIRO GRAU EM MATO GROSSO DO SUL - SECAO JUDICIARIA DE MATO GROSSO DO SUL</t>
  </si>
  <si>
    <t>19/02/2016</t>
  </si>
  <si>
    <t>19.02.2016 - PIC  1.00.000.002485/2016-96 (CRIM.), PGR-SEJUD</t>
  </si>
  <si>
    <t>1.00.000.002485/2016-96;100000002485201696</t>
  </si>
  <si>
    <t>1.00.000.002485/2016-96</t>
  </si>
  <si>
    <t>DPF/UDI - DELEGACIA DE POLÍCIA FEDERAL DE UBERLÂNDIA</t>
  </si>
  <si>
    <t>02/03/2016</t>
  </si>
  <si>
    <t>02.03.2016 - PIC  1.00.000.003392/2016-89 (CRIM.), PGR-SEJUD</t>
  </si>
  <si>
    <t>1.00.000.003392/2016-89;100000003392201689</t>
  </si>
  <si>
    <t>1.00.000.003392/2016-89</t>
  </si>
  <si>
    <t>JF/CACE - SUBSEÇÃO JUDICIÁRIA DE CÁCERES</t>
  </si>
  <si>
    <t>02.03.2016 - PIC  1.00.000.003412/2016-11 (CRIM.), PGR-SEJUD</t>
  </si>
  <si>
    <t>1.00.000.003412/2016-11;100000003412201611</t>
  </si>
  <si>
    <t>1.00.000.003412/2016-11</t>
  </si>
  <si>
    <t>02.03.2016 - PIC  1.00.000.003457/2016-96 (CRIM.), PGR-SEJUD</t>
  </si>
  <si>
    <t>1.00.000.003457/2016-96;100000003457201696</t>
  </si>
  <si>
    <t>1.00.000.003457/2016-96</t>
  </si>
  <si>
    <t>03/03/2016</t>
  </si>
  <si>
    <t>03.03.2016 - PIC  1.00.000.003503/2016-57 (CRIM.), PGR-SEJUD</t>
  </si>
  <si>
    <t>1.00.000.003503/2016-57;100000003503201657</t>
  </si>
  <si>
    <t>1.00.000.003503/2016-57</t>
  </si>
  <si>
    <t>JF-AM - JUSTIÇA FEDERAL - SEÇÃO JUDICIÁRIA DO AMAZONAS</t>
  </si>
  <si>
    <t>04/03/2016</t>
  </si>
  <si>
    <t>04.03.2016 - PIC  1.00.000.003558/2016-67 (CRIM.), PGR-SEJUD</t>
  </si>
  <si>
    <t>1.00.000.003558/2016-67;100000003558201667</t>
  </si>
  <si>
    <t>1.00.000.003558/2016-67</t>
  </si>
  <si>
    <t>PF - MINISTERIO DA JUSTICA E SEGURANCA PUBLICA - SUPERINTENDENCIA REGIONAL DO DPF EM BRASILIA</t>
  </si>
  <si>
    <t>03/05/2016</t>
  </si>
  <si>
    <t>03.05.2016 - PIC  1.00.000.006680/2016-95 (CRIM.), PGR-GABPGR</t>
  </si>
  <si>
    <t>1.00.000.006680/2016-95;100000006680201695</t>
  </si>
  <si>
    <t>1.00.000.006680/2016-95</t>
  </si>
  <si>
    <t>PR-PI/SAG/PR-PI - SERVIÇO DE ARQUIVO GERAL DA PR/PI</t>
  </si>
  <si>
    <t>03/06/2016</t>
  </si>
  <si>
    <t>03.06.2016 - PIC  1.00.000.008406/2016-51 (CRIM.), PGR-SEJUD</t>
  </si>
  <si>
    <t>1.00.000.008406/2016-51;100000008406201651</t>
  </si>
  <si>
    <t>1.00.000.008406/2016-51</t>
  </si>
  <si>
    <t>SRPFPR - SUPERINTENDÊNCIA REGIONAL DA POLÍCIA FEDERAL NO PARANÁ</t>
  </si>
  <si>
    <t>03.06.2016 - PIC  1.00.000.008412/2016-16 (CRIM.), PGR-SEJUD</t>
  </si>
  <si>
    <t>1.00.000.008412/2016-16;100000008412201616</t>
  </si>
  <si>
    <t>1.00.000.008412/2016-16</t>
  </si>
  <si>
    <t>27/09/2016</t>
  </si>
  <si>
    <t>27.09.2016 - PIC  1.00.000.015124/2016-18 (CRIM.), PGR-SEJUD</t>
  </si>
  <si>
    <t>1.00.000.015124/2016-18;100000015124201618</t>
  </si>
  <si>
    <t>1.00.000.015124/2016-18</t>
  </si>
  <si>
    <t>27.09.2016 - PIC  1.00.000.015136/2016-34 (CRIM.), PGR-SEJUD</t>
  </si>
  <si>
    <t>1.00.000.015136/2016-34;100000015136201634</t>
  </si>
  <si>
    <t>1.00.000.015136/2016-34</t>
  </si>
  <si>
    <t>28/09/2016</t>
  </si>
  <si>
    <t>28.09.2016 - PIC  1.00.000.015143/2016-36 (CRIM.), PGR-GABPGR</t>
  </si>
  <si>
    <t>1.00.000.015143/2016-36;100000015143201636</t>
  </si>
  <si>
    <t>1.00.000.015143/2016-36</t>
  </si>
  <si>
    <t>SCI - Difamação;2ª CCR - Difamação;SCI - Injúria;2ª CCR - Injúria</t>
  </si>
  <si>
    <t>PROMOTORIA ELEITORAL DA 43ª ZONA - ANANINDEUA/PA</t>
  </si>
  <si>
    <t>27/10/2016</t>
  </si>
  <si>
    <t>27.10.2016 - PIC  1.00.000.016896/2016-69 (CRIM.), PGR-GABPGR</t>
  </si>
  <si>
    <t>1.00.000.016896/2016-69;100000016896201669</t>
  </si>
  <si>
    <t>1.00.000.016896/2016-69</t>
  </si>
  <si>
    <t>SCI - SECRETARIA DE COOPERAÇÃO JURÍDICA INTERNACIONAL;2ª CÂMARA - CRIMINAL;PROCURADORIA GERAL DA REPÚBLICA</t>
  </si>
  <si>
    <t>SCI - Apropriação indébita Previdenciária;2ª CCR - Apropriação indébita Previdenciária;SCI - Falsidade ideológica;2ª CCR - Falsidade ideológica;SCI - Sonegação de contribuição previdenciária;2ª CCR - Sonegação de contribuição previdenciária;PGR - Deputados</t>
  </si>
  <si>
    <t>PRM-GOIANA/SJUR/PRM-PE - SETOR JURÍDICO DA PRM/GOIANA-PE</t>
  </si>
  <si>
    <t>03/11/2016</t>
  </si>
  <si>
    <t>03.11.2016 - PIC  1.00.000.017100/2016-95 (CRIM.), PGR-GABPGR</t>
  </si>
  <si>
    <t>1.00.000.017100/2016-95;100000017100201695</t>
  </si>
  <si>
    <t>1.00.000.017100/2016-95</t>
  </si>
  <si>
    <t>SCI - SECRETARIA DE COOPERAÇÃO JURÍDICA INTERNACIONAL;2ª CÂMARA - CRIMINAL;5ª CÂMARA - COMBATE À CORRUPÇÃO;PROCURADORIA GERAL DA REPÚBLICA</t>
  </si>
  <si>
    <t>SCI - Crimes de Responsabilidade;2ª CCR - Crimes de Responsabilidade;5ª CCR - Crimes de Responsabilidade;PGR - Deputados</t>
  </si>
  <si>
    <t>PRM-GARANHUNS/SJUR/PRM-PE - SETOR JURIDICO DA PRM/GARANHUNS</t>
  </si>
  <si>
    <t>30/11/2016</t>
  </si>
  <si>
    <t>30.11.2016 - PIC  1.00.000.018823/2016-10 (ELEIT.), PGR-GABPGR</t>
  </si>
  <si>
    <t>1.00.000.018823/2016-10;100000018823201610</t>
  </si>
  <si>
    <t>1.00.000.018823/2016-10</t>
  </si>
  <si>
    <t>PR-AL/SEEXTJ/PRAL - SETOR EXTRAJUDICIAL DA PR/AL</t>
  </si>
  <si>
    <t>10/03/2017</t>
  </si>
  <si>
    <t>10.03.2017 - PIC  1.00.000.004560/2017-34 (CRIM.), PGR-GABPGR</t>
  </si>
  <si>
    <t>1.00.000.004560/2017-34;100000004560201734</t>
  </si>
  <si>
    <t>1.00.000.004560/2017-34</t>
  </si>
  <si>
    <t>SCI - SECRETARIA DE COOPERAÇÃO JURÍDICA INTERNACIONAL;1ª CÂMARA - DIREITOS SOCIAIS E ATOS ADMINISTRATIVOS EM GERAL;5ª CÂMARA - COMBATE À CORRUPÇÃO;PROCURADORIA GERAL DA REPÚBLICA</t>
  </si>
  <si>
    <t>SCI - Improbidade Administrativa;1ª CCR - Improbidade Administrativa;5ª CCR - Improbidade Administrativa;PGR - Senadores</t>
  </si>
  <si>
    <t>SRDF - SUPERINTENDENCIA REGIONAL DO DISTRITO POLICIAL</t>
  </si>
  <si>
    <t>21/03/2017</t>
  </si>
  <si>
    <t>21.03.2017 - PIC  1.00.000.005273/2017-41 (CRIM.), PGR-SEJUD</t>
  </si>
  <si>
    <t>1.00.000.005273/2017-41;100000005273201741</t>
  </si>
  <si>
    <t>1.00.000.005273/2017-41</t>
  </si>
  <si>
    <t>21.03.2017 - PIC  1.00.000.005274/2017-96 (CRIM.), PGR-SEJUD</t>
  </si>
  <si>
    <t>1.00.000.005274/2017-96;100000005274201796</t>
  </si>
  <si>
    <t>1.00.000.005274/2017-96</t>
  </si>
  <si>
    <t>21.03.2017 - PIC  1.00.000.005283/2017-87 (CRIM.), PGR-SEJUD</t>
  </si>
  <si>
    <t>1.00.000.005283/2017-87;100000005283201787</t>
  </si>
  <si>
    <t>1.00.000.005283/2017-87</t>
  </si>
  <si>
    <t>TRF2/RJ - SEÇÃO JUDICIÁRIA DO RIO DE JANEIRO - 6ª VARA FEDERAL CRIMINAL</t>
  </si>
  <si>
    <t>21.03.2017 - PIC  1.00.000.005322/2017-46 (CRIM.), PGR-SEJUD</t>
  </si>
  <si>
    <t>1.00.000.005322/2017-46;100000005322201746</t>
  </si>
  <si>
    <t>1.00.000.005322/2017-46</t>
  </si>
  <si>
    <t>11/04/2017</t>
  </si>
  <si>
    <t>11.04.2017 - PIC  1.00.000.006646/2017-00 (CRIM.), PGR-GABPGR</t>
  </si>
  <si>
    <t>1.00.000.006646/2017-00;100000006646201700</t>
  </si>
  <si>
    <t>1.00.000.006646/2017-00</t>
  </si>
  <si>
    <t>PGR - Senadores</t>
  </si>
  <si>
    <t>DPF</t>
  </si>
  <si>
    <t>13/07/2017</t>
  </si>
  <si>
    <t>13.07.2017 - PIC  1.00.000.012743/2017-23 (CRIM.), PGR-GABPGR</t>
  </si>
  <si>
    <t>1.00.000.012743/2017-23;100000012743201723</t>
  </si>
  <si>
    <t>1.00.000.012743/2017-23</t>
  </si>
  <si>
    <t>SCI - Emprego irregular de verbas ou rendas públicas;5ª CCR - Emprego irregular de verbas ou rendas públicas;PGR - Ministros de Estado</t>
  </si>
  <si>
    <t>PR-AL/GABPR11-MDC - MARCIAL DUARTE COELHO</t>
  </si>
  <si>
    <t>18/09/2017</t>
  </si>
  <si>
    <t>18.09.2017 - PIC  1.00.000.017425/2017-59 (CRIM.), PGR-SEJUD</t>
  </si>
  <si>
    <t>1.00.000.017425/2017-59;100000017425201759</t>
  </si>
  <si>
    <t>1.00.000.017425/2017-59</t>
  </si>
  <si>
    <t>SCI - SECRETARIA DE COOPERAÇÃO JURÍDICA INTERNACIONAL;2ª CÂMARA - CRIMINAL;ELEITORAL</t>
  </si>
  <si>
    <t>SCI - Captação ilícita de votos ou corrupção eleitoral;2ª CCR - Captação ilícita de votos ou corrupção eleitoral;ELEITORAL - Captação ilícita de votos ou corrupção eleitoral</t>
  </si>
  <si>
    <t>PR-TO/COJUD/PRTO - COORDENADORIA JURÍDICA E DE DOCUMENTAÇÃO DA PR/TO</t>
  </si>
  <si>
    <t>27/02/2019</t>
  </si>
  <si>
    <t>27.02.2019 - PIC  1.00.000.004573/2019-75 (CRIM.), PGR-GABPGR</t>
  </si>
  <si>
    <t>1.00.000.004573/2019-75;100000004573201975</t>
  </si>
  <si>
    <t>1.00.000.004573/2019-75</t>
  </si>
  <si>
    <t>PGR - Conflito de Atribuições;PGR - No MPU;PGR - Negativo</t>
  </si>
  <si>
    <t>19/03/2020</t>
  </si>
  <si>
    <t>19.03.2020 - PIC  1.00.000.005639/2020-88 (CRIM.), PGR-GABPGR</t>
  </si>
  <si>
    <t>1.00.000.005639/2020-88;100000005639202088</t>
  </si>
  <si>
    <t>1.00.000.005639/2020-88</t>
  </si>
  <si>
    <t>PFDC - PROCURADORIA FEDERAL DOS DIREITOS DO CIDADÃO;2ª CÂMARA - CRIMINAL;SCI - SECRETARIA DE COOPERAÇÃO JURÍDICA INTERNACIONAL;4ª CÂMARA - MEIO AMBIENTE E PATRIMÔNIO CULTURAL;5ª CÂMARA - COMBATE À CORRUPÇÃO;7ª CÂMARA - CONTROLE EXTERNO DA ATIVIDADE POLICIAL E SISTEMA PRISIONAL;ELEITORAL;PROCURADORIA GERAL DA REPÚBLICA</t>
  </si>
  <si>
    <t>PFDC - DIREITO PENAL;2ª CCR - DIREITO PENAL;SCI - Crimes Previstos na Legislação Extravagante;2ª CCR - Crimes Previstos na Legislação Extravagante;4ª CCR - Crimes Previstos na Legislação Extravagante;5ª CCR - Crimes Previstos na Legislação Extravagante;7ª CCR - Crimes Previstos na Legislação Extravagante;ELEITORAL - Crimes Previstos na Legislação Extravagante;SCI - Crimes contra a Flora;2ª CCR - Crimes contra a Flora;4ª CCR - Crimes contra a Flora;PGR - Conflito de Atribuições;PGR - Negativo</t>
  </si>
  <si>
    <t>06/08/2020</t>
  </si>
  <si>
    <t>06.08.2020 - PIC  1.00.000.014056/2020-48 (CRIM.), PGR-GABPGR</t>
  </si>
  <si>
    <t>1.00.000.014056/2020-48;100000014056202048</t>
  </si>
  <si>
    <t>1.00.000.014056/2020-48</t>
  </si>
  <si>
    <t>SCI - Calúnia;2ª CCR - Calúnia;SCI - Estelionato;2ª CCR - Estelionato;SCI - Crimes contra as Telecomunicações;2ª CCR - Crimes contra as Telecomunicações</t>
  </si>
  <si>
    <t>PR-RR/GABPR1-MAL - MIGUEL DE ALMEIDA LIMA</t>
  </si>
  <si>
    <t>21/07/2023</t>
  </si>
  <si>
    <t>21.07.2023 - PIC  1.00.000.008839/2023-35 (CRIM.), PGR-SG</t>
  </si>
  <si>
    <t>1.00.000.008839/2023-35;100000008839202335</t>
  </si>
  <si>
    <t>1.00.000.008839/2023-35</t>
  </si>
  <si>
    <t>PGR-SECRETARIA GERAL</t>
  </si>
  <si>
    <t>SCI - Falsidade ideológica;2ª CCR - Falsidade ideológica;PGR - Ajuizamento de Ação</t>
  </si>
  <si>
    <t>DPF/JOI/SC - DELEGACIA DE POLÍCIA FEDERAL EM JOINVILLE</t>
  </si>
  <si>
    <t>ano</t>
  </si>
  <si>
    <t>Total</t>
  </si>
  <si>
    <t>Processo</t>
  </si>
  <si>
    <t>Arquivado</t>
  </si>
  <si>
    <t>1991</t>
  </si>
  <si>
    <t>1995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</si>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</sst>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Sheet1!$R$2:$R$30</c:f>
              <c:strCache>
                <c:ptCount val="29"/>
                <c:pt idx="0">
                  <c:v>1991</c:v>
                </c:pt>
                <c:pt idx="1">
                  <c:v>1995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Sheet1!$S$2:$S$30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11</c:v>
                </c:pt>
                <c:pt idx="16">
                  <c:v>33</c:v>
                </c:pt>
                <c:pt idx="17">
                  <c:v>24</c:v>
                </c:pt>
                <c:pt idx="18">
                  <c:v>24</c:v>
                </c:pt>
                <c:pt idx="19">
                  <c:v>15</c:v>
                </c:pt>
                <c:pt idx="20">
                  <c:v>8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A-43DA-8F11-B1B0FEAD9B9F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Processo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Sheet1!$R$2:$R$30</c:f>
              <c:strCache>
                <c:ptCount val="29"/>
                <c:pt idx="0">
                  <c:v>1991</c:v>
                </c:pt>
                <c:pt idx="1">
                  <c:v>1995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Sheet1!$T$2:$T$30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A-43DA-8F11-B1B0FEAD9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029023"/>
        <c:axId val="410028063"/>
      </c:barChart>
      <c:catAx>
        <c:axId val="4100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28063"/>
        <c:crosses val="autoZero"/>
        <c:auto val="1"/>
        <c:lblAlgn val="ctr"/>
        <c:lblOffset val="100"/>
        <c:noMultiLvlLbl val="0"/>
      </c:catAx>
      <c:valAx>
        <c:axId val="4100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2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352425</xdr:colOff>
      <xdr:row>6</xdr:row>
      <xdr:rowOff>71437</xdr:rowOff>
    </xdr:from>
    <xdr:to>
      <xdr:col>27</xdr:col>
      <xdr:colOff>47625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36607-9905-B627-9404-561980E34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abSelected="1" topLeftCell="K7" zoomScale="160" zoomScaleNormal="160" workbookViewId="0">
      <selection activeCell="O12" sqref="O12"/>
    </sheetView>
  </sheetViews>
  <sheetFormatPr defaultRowHeight="15" x14ac:dyDescent="0.25"/>
  <sheetData>
    <row r="1" spans="1:21" x14ac:dyDescent="0.25">
      <c r="A1" s="1" t="s">
        <v>0</v>
      </c>
      <c r="B1" s="1" t="s">
        <v>585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618</v>
      </c>
      <c r="R1" t="s">
        <v>585</v>
      </c>
      <c r="S1" s="2" t="s">
        <v>586</v>
      </c>
      <c r="T1" s="2" t="s">
        <v>587</v>
      </c>
      <c r="U1" s="2" t="s">
        <v>588</v>
      </c>
    </row>
    <row r="2" spans="1:21" x14ac:dyDescent="0.25">
      <c r="A2" t="s">
        <v>14</v>
      </c>
      <c r="B2" t="str">
        <f t="shared" ref="B2:B65" si="0">RIGHT(A2,4)</f>
        <v>2010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M2" t="s">
        <v>22</v>
      </c>
      <c r="N2" t="s">
        <v>23</v>
      </c>
      <c r="O2" t="s">
        <v>24</v>
      </c>
      <c r="P2">
        <v>0</v>
      </c>
      <c r="R2" t="s">
        <v>589</v>
      </c>
      <c r="S2">
        <f>COUNTIF(B:B,R2)</f>
        <v>0</v>
      </c>
      <c r="T2">
        <f t="shared" ref="T2:T29" si="1">COUNTIFS(B:B,R2,P:P,1)</f>
        <v>0</v>
      </c>
    </row>
    <row r="3" spans="1:21" x14ac:dyDescent="0.25">
      <c r="A3" t="s">
        <v>25</v>
      </c>
      <c r="B3" t="str">
        <f t="shared" si="0"/>
        <v>2011</v>
      </c>
      <c r="C3" t="s">
        <v>26</v>
      </c>
      <c r="D3" t="s">
        <v>27</v>
      </c>
      <c r="E3" t="s">
        <v>28</v>
      </c>
      <c r="G3" t="s">
        <v>18</v>
      </c>
      <c r="H3" t="s">
        <v>19</v>
      </c>
      <c r="I3" t="s">
        <v>20</v>
      </c>
      <c r="J3" t="s">
        <v>21</v>
      </c>
      <c r="M3" t="s">
        <v>29</v>
      </c>
      <c r="N3" t="s">
        <v>30</v>
      </c>
      <c r="O3" t="s">
        <v>31</v>
      </c>
      <c r="P3">
        <v>0</v>
      </c>
      <c r="R3" t="s">
        <v>590</v>
      </c>
      <c r="S3">
        <f t="shared" ref="S3:S29" si="2">COUNTIF(B:B,R3)</f>
        <v>0</v>
      </c>
      <c r="T3">
        <f t="shared" si="1"/>
        <v>0</v>
      </c>
    </row>
    <row r="4" spans="1:21" x14ac:dyDescent="0.25">
      <c r="A4" t="s">
        <v>32</v>
      </c>
      <c r="B4" t="str">
        <f t="shared" si="0"/>
        <v>2012</v>
      </c>
      <c r="C4" t="s">
        <v>33</v>
      </c>
      <c r="D4" t="s">
        <v>34</v>
      </c>
      <c r="E4" t="s">
        <v>35</v>
      </c>
      <c r="G4" t="s">
        <v>18</v>
      </c>
      <c r="H4" t="s">
        <v>19</v>
      </c>
      <c r="I4" t="s">
        <v>20</v>
      </c>
      <c r="J4" t="s">
        <v>21</v>
      </c>
      <c r="M4" t="s">
        <v>36</v>
      </c>
      <c r="N4" t="s">
        <v>37</v>
      </c>
      <c r="O4" t="s">
        <v>38</v>
      </c>
      <c r="P4">
        <v>0</v>
      </c>
      <c r="R4" t="s">
        <v>591</v>
      </c>
      <c r="S4">
        <f t="shared" si="2"/>
        <v>0</v>
      </c>
      <c r="T4">
        <f t="shared" si="1"/>
        <v>0</v>
      </c>
    </row>
    <row r="5" spans="1:21" x14ac:dyDescent="0.25">
      <c r="A5" t="s">
        <v>39</v>
      </c>
      <c r="B5" t="str">
        <f t="shared" si="0"/>
        <v>2012</v>
      </c>
      <c r="C5" t="s">
        <v>40</v>
      </c>
      <c r="D5" t="s">
        <v>41</v>
      </c>
      <c r="E5" t="s">
        <v>42</v>
      </c>
      <c r="G5" t="s">
        <v>18</v>
      </c>
      <c r="H5" t="s">
        <v>19</v>
      </c>
      <c r="I5" t="s">
        <v>20</v>
      </c>
      <c r="J5" t="s">
        <v>21</v>
      </c>
      <c r="M5" t="s">
        <v>36</v>
      </c>
      <c r="N5" t="s">
        <v>43</v>
      </c>
      <c r="O5" t="s">
        <v>44</v>
      </c>
      <c r="P5">
        <v>0</v>
      </c>
      <c r="R5" t="s">
        <v>592</v>
      </c>
      <c r="S5">
        <f t="shared" si="2"/>
        <v>0</v>
      </c>
      <c r="T5">
        <f t="shared" si="1"/>
        <v>0</v>
      </c>
    </row>
    <row r="6" spans="1:21" x14ac:dyDescent="0.25">
      <c r="A6" t="s">
        <v>39</v>
      </c>
      <c r="B6" t="str">
        <f t="shared" si="0"/>
        <v>2012</v>
      </c>
      <c r="C6" t="s">
        <v>45</v>
      </c>
      <c r="D6" t="s">
        <v>46</v>
      </c>
      <c r="E6" t="s">
        <v>47</v>
      </c>
      <c r="G6" t="s">
        <v>18</v>
      </c>
      <c r="H6" t="s">
        <v>19</v>
      </c>
      <c r="I6" t="s">
        <v>20</v>
      </c>
      <c r="J6" t="s">
        <v>21</v>
      </c>
      <c r="M6" t="s">
        <v>36</v>
      </c>
      <c r="N6" t="s">
        <v>43</v>
      </c>
      <c r="O6" t="s">
        <v>48</v>
      </c>
      <c r="P6">
        <v>0</v>
      </c>
      <c r="R6" t="s">
        <v>593</v>
      </c>
      <c r="S6">
        <f t="shared" si="2"/>
        <v>0</v>
      </c>
      <c r="T6">
        <f t="shared" si="1"/>
        <v>0</v>
      </c>
    </row>
    <row r="7" spans="1:21" x14ac:dyDescent="0.25">
      <c r="A7" t="s">
        <v>49</v>
      </c>
      <c r="B7" t="str">
        <f t="shared" si="0"/>
        <v>2012</v>
      </c>
      <c r="C7" t="s">
        <v>50</v>
      </c>
      <c r="D7" t="s">
        <v>51</v>
      </c>
      <c r="E7" t="s">
        <v>52</v>
      </c>
      <c r="G7" t="s">
        <v>18</v>
      </c>
      <c r="H7" t="s">
        <v>19</v>
      </c>
      <c r="I7" t="s">
        <v>20</v>
      </c>
      <c r="J7" t="s">
        <v>21</v>
      </c>
      <c r="O7" t="s">
        <v>53</v>
      </c>
      <c r="P7">
        <v>0</v>
      </c>
      <c r="R7" t="s">
        <v>594</v>
      </c>
      <c r="S7">
        <f t="shared" si="2"/>
        <v>0</v>
      </c>
      <c r="T7">
        <f t="shared" si="1"/>
        <v>0</v>
      </c>
    </row>
    <row r="8" spans="1:21" x14ac:dyDescent="0.25">
      <c r="A8" t="s">
        <v>49</v>
      </c>
      <c r="B8" t="str">
        <f t="shared" si="0"/>
        <v>2012</v>
      </c>
      <c r="C8" t="s">
        <v>54</v>
      </c>
      <c r="D8" t="s">
        <v>55</v>
      </c>
      <c r="E8" t="s">
        <v>56</v>
      </c>
      <c r="G8" t="s">
        <v>18</v>
      </c>
      <c r="H8" t="s">
        <v>19</v>
      </c>
      <c r="I8" t="s">
        <v>20</v>
      </c>
      <c r="J8" t="s">
        <v>21</v>
      </c>
      <c r="O8" t="s">
        <v>57</v>
      </c>
      <c r="P8">
        <v>0</v>
      </c>
      <c r="R8" t="s">
        <v>595</v>
      </c>
      <c r="S8">
        <f t="shared" si="2"/>
        <v>0</v>
      </c>
      <c r="T8">
        <f t="shared" si="1"/>
        <v>0</v>
      </c>
    </row>
    <row r="9" spans="1:21" x14ac:dyDescent="0.25">
      <c r="A9" t="s">
        <v>58</v>
      </c>
      <c r="B9" t="str">
        <f t="shared" si="0"/>
        <v>2012</v>
      </c>
      <c r="C9" t="s">
        <v>59</v>
      </c>
      <c r="D9" t="s">
        <v>60</v>
      </c>
      <c r="E9" t="s">
        <v>61</v>
      </c>
      <c r="G9" t="s">
        <v>18</v>
      </c>
      <c r="H9" t="s">
        <v>19</v>
      </c>
      <c r="I9" t="s">
        <v>20</v>
      </c>
      <c r="J9" t="s">
        <v>21</v>
      </c>
      <c r="O9" t="s">
        <v>57</v>
      </c>
      <c r="P9">
        <v>0</v>
      </c>
      <c r="R9" t="s">
        <v>596</v>
      </c>
      <c r="S9">
        <f t="shared" si="2"/>
        <v>0</v>
      </c>
      <c r="T9">
        <f t="shared" si="1"/>
        <v>0</v>
      </c>
    </row>
    <row r="10" spans="1:21" x14ac:dyDescent="0.25">
      <c r="A10" t="s">
        <v>58</v>
      </c>
      <c r="B10" t="str">
        <f t="shared" si="0"/>
        <v>2012</v>
      </c>
      <c r="C10" t="s">
        <v>62</v>
      </c>
      <c r="D10" t="s">
        <v>63</v>
      </c>
      <c r="E10" t="s">
        <v>64</v>
      </c>
      <c r="G10" t="s">
        <v>18</v>
      </c>
      <c r="H10" t="s">
        <v>19</v>
      </c>
      <c r="I10" t="s">
        <v>20</v>
      </c>
      <c r="J10" t="s">
        <v>21</v>
      </c>
      <c r="O10" t="s">
        <v>44</v>
      </c>
      <c r="P10">
        <v>0</v>
      </c>
      <c r="R10" t="s">
        <v>597</v>
      </c>
      <c r="S10">
        <f t="shared" si="2"/>
        <v>0</v>
      </c>
      <c r="T10">
        <f t="shared" si="1"/>
        <v>0</v>
      </c>
    </row>
    <row r="11" spans="1:21" x14ac:dyDescent="0.25">
      <c r="A11" t="s">
        <v>65</v>
      </c>
      <c r="B11" t="str">
        <f t="shared" si="0"/>
        <v>2012</v>
      </c>
      <c r="C11" t="s">
        <v>66</v>
      </c>
      <c r="D11" t="s">
        <v>67</v>
      </c>
      <c r="E11" t="s">
        <v>68</v>
      </c>
      <c r="G11" t="s">
        <v>18</v>
      </c>
      <c r="H11" t="s">
        <v>19</v>
      </c>
      <c r="I11" t="s">
        <v>20</v>
      </c>
      <c r="J11" t="s">
        <v>21</v>
      </c>
      <c r="O11" t="s">
        <v>69</v>
      </c>
      <c r="P11">
        <v>0</v>
      </c>
      <c r="R11" t="s">
        <v>598</v>
      </c>
      <c r="S11">
        <f t="shared" si="2"/>
        <v>0</v>
      </c>
      <c r="T11">
        <f t="shared" si="1"/>
        <v>0</v>
      </c>
    </row>
    <row r="12" spans="1:21" x14ac:dyDescent="0.25">
      <c r="A12" t="s">
        <v>65</v>
      </c>
      <c r="B12" t="str">
        <f t="shared" si="0"/>
        <v>2012</v>
      </c>
      <c r="C12" t="s">
        <v>70</v>
      </c>
      <c r="D12" t="s">
        <v>71</v>
      </c>
      <c r="E12" t="s">
        <v>72</v>
      </c>
      <c r="G12" t="s">
        <v>18</v>
      </c>
      <c r="H12" t="s">
        <v>19</v>
      </c>
      <c r="I12" t="s">
        <v>20</v>
      </c>
      <c r="J12" t="s">
        <v>21</v>
      </c>
      <c r="O12" t="s">
        <v>69</v>
      </c>
      <c r="P12">
        <v>0</v>
      </c>
      <c r="R12" t="s">
        <v>599</v>
      </c>
      <c r="S12">
        <f t="shared" si="2"/>
        <v>0</v>
      </c>
      <c r="T12">
        <f t="shared" si="1"/>
        <v>0</v>
      </c>
    </row>
    <row r="13" spans="1:21" x14ac:dyDescent="0.25">
      <c r="A13" t="s">
        <v>73</v>
      </c>
      <c r="B13" t="str">
        <f t="shared" si="0"/>
        <v>2012</v>
      </c>
      <c r="C13" t="s">
        <v>74</v>
      </c>
      <c r="D13" t="s">
        <v>75</v>
      </c>
      <c r="E13" t="s">
        <v>76</v>
      </c>
      <c r="G13" t="s">
        <v>18</v>
      </c>
      <c r="H13" t="s">
        <v>19</v>
      </c>
      <c r="I13" t="s">
        <v>20</v>
      </c>
      <c r="J13" t="s">
        <v>21</v>
      </c>
      <c r="M13" t="s">
        <v>36</v>
      </c>
      <c r="N13" t="s">
        <v>77</v>
      </c>
      <c r="O13" t="s">
        <v>78</v>
      </c>
      <c r="P13">
        <v>0</v>
      </c>
      <c r="R13" t="s">
        <v>600</v>
      </c>
      <c r="S13">
        <f t="shared" si="2"/>
        <v>0</v>
      </c>
      <c r="T13">
        <f t="shared" si="1"/>
        <v>0</v>
      </c>
    </row>
    <row r="14" spans="1:21" x14ac:dyDescent="0.25">
      <c r="A14" t="s">
        <v>79</v>
      </c>
      <c r="B14" t="str">
        <f t="shared" si="0"/>
        <v>2012</v>
      </c>
      <c r="C14" t="s">
        <v>80</v>
      </c>
      <c r="D14" t="s">
        <v>81</v>
      </c>
      <c r="E14" t="s">
        <v>82</v>
      </c>
      <c r="G14" t="s">
        <v>18</v>
      </c>
      <c r="H14" t="s">
        <v>19</v>
      </c>
      <c r="I14" t="s">
        <v>20</v>
      </c>
      <c r="J14" t="s">
        <v>21</v>
      </c>
      <c r="M14" t="s">
        <v>83</v>
      </c>
      <c r="N14" t="s">
        <v>84</v>
      </c>
      <c r="O14" t="s">
        <v>85</v>
      </c>
      <c r="P14">
        <v>0</v>
      </c>
      <c r="R14" t="s">
        <v>601</v>
      </c>
      <c r="S14">
        <f t="shared" si="2"/>
        <v>0</v>
      </c>
      <c r="T14">
        <f t="shared" si="1"/>
        <v>0</v>
      </c>
    </row>
    <row r="15" spans="1:21" x14ac:dyDescent="0.25">
      <c r="A15" t="s">
        <v>86</v>
      </c>
      <c r="B15" t="str">
        <f t="shared" si="0"/>
        <v>2013</v>
      </c>
      <c r="C15" t="s">
        <v>87</v>
      </c>
      <c r="D15" t="s">
        <v>88</v>
      </c>
      <c r="E15" t="s">
        <v>89</v>
      </c>
      <c r="G15" t="s">
        <v>18</v>
      </c>
      <c r="H15" t="s">
        <v>19</v>
      </c>
      <c r="I15" t="s">
        <v>20</v>
      </c>
      <c r="J15" t="s">
        <v>21</v>
      </c>
      <c r="M15" t="s">
        <v>36</v>
      </c>
      <c r="N15" t="s">
        <v>43</v>
      </c>
      <c r="O15" t="s">
        <v>90</v>
      </c>
      <c r="P15">
        <v>0</v>
      </c>
      <c r="R15" t="s">
        <v>602</v>
      </c>
      <c r="S15">
        <f t="shared" si="2"/>
        <v>1</v>
      </c>
      <c r="T15">
        <f t="shared" si="1"/>
        <v>0</v>
      </c>
    </row>
    <row r="16" spans="1:21" x14ac:dyDescent="0.25">
      <c r="A16" t="s">
        <v>86</v>
      </c>
      <c r="B16" t="str">
        <f t="shared" si="0"/>
        <v>2013</v>
      </c>
      <c r="C16" t="s">
        <v>91</v>
      </c>
      <c r="D16" t="s">
        <v>92</v>
      </c>
      <c r="E16" t="s">
        <v>93</v>
      </c>
      <c r="G16" t="s">
        <v>18</v>
      </c>
      <c r="H16" t="s">
        <v>19</v>
      </c>
      <c r="I16" t="s">
        <v>20</v>
      </c>
      <c r="J16" t="s">
        <v>21</v>
      </c>
      <c r="M16" t="s">
        <v>36</v>
      </c>
      <c r="N16" t="s">
        <v>43</v>
      </c>
      <c r="O16" t="s">
        <v>94</v>
      </c>
      <c r="P16">
        <v>0</v>
      </c>
      <c r="R16" t="s">
        <v>603</v>
      </c>
      <c r="S16">
        <f t="shared" si="2"/>
        <v>1</v>
      </c>
      <c r="T16">
        <f t="shared" si="1"/>
        <v>0</v>
      </c>
    </row>
    <row r="17" spans="1:20" x14ac:dyDescent="0.25">
      <c r="A17" t="s">
        <v>95</v>
      </c>
      <c r="B17" t="str">
        <f t="shared" si="0"/>
        <v>2013</v>
      </c>
      <c r="C17" t="s">
        <v>96</v>
      </c>
      <c r="D17" t="s">
        <v>97</v>
      </c>
      <c r="E17" t="s">
        <v>98</v>
      </c>
      <c r="G17" t="s">
        <v>18</v>
      </c>
      <c r="H17" t="s">
        <v>19</v>
      </c>
      <c r="I17" t="s">
        <v>20</v>
      </c>
      <c r="J17" t="s">
        <v>21</v>
      </c>
      <c r="M17" t="s">
        <v>36</v>
      </c>
      <c r="N17" t="s">
        <v>43</v>
      </c>
      <c r="O17" t="s">
        <v>99</v>
      </c>
      <c r="P17">
        <v>0</v>
      </c>
      <c r="R17" t="s">
        <v>604</v>
      </c>
      <c r="S17">
        <f t="shared" si="2"/>
        <v>11</v>
      </c>
      <c r="T17">
        <f t="shared" si="1"/>
        <v>0</v>
      </c>
    </row>
    <row r="18" spans="1:20" x14ac:dyDescent="0.25">
      <c r="A18" t="s">
        <v>95</v>
      </c>
      <c r="B18" t="str">
        <f t="shared" si="0"/>
        <v>2013</v>
      </c>
      <c r="C18" t="s">
        <v>100</v>
      </c>
      <c r="D18" t="s">
        <v>101</v>
      </c>
      <c r="E18" t="s">
        <v>102</v>
      </c>
      <c r="G18" t="s">
        <v>18</v>
      </c>
      <c r="H18" t="s">
        <v>19</v>
      </c>
      <c r="I18" t="s">
        <v>20</v>
      </c>
      <c r="J18" t="s">
        <v>21</v>
      </c>
      <c r="M18" t="s">
        <v>36</v>
      </c>
      <c r="N18" t="s">
        <v>43</v>
      </c>
      <c r="O18" t="s">
        <v>103</v>
      </c>
      <c r="P18">
        <v>0</v>
      </c>
      <c r="R18" t="s">
        <v>605</v>
      </c>
      <c r="S18">
        <f t="shared" si="2"/>
        <v>33</v>
      </c>
      <c r="T18">
        <f t="shared" si="1"/>
        <v>0</v>
      </c>
    </row>
    <row r="19" spans="1:20" x14ac:dyDescent="0.25">
      <c r="A19" t="s">
        <v>104</v>
      </c>
      <c r="B19" t="str">
        <f t="shared" si="0"/>
        <v>2013</v>
      </c>
      <c r="C19" t="s">
        <v>105</v>
      </c>
      <c r="D19" t="s">
        <v>106</v>
      </c>
      <c r="E19" t="s">
        <v>107</v>
      </c>
      <c r="G19" t="s">
        <v>18</v>
      </c>
      <c r="H19" t="s">
        <v>19</v>
      </c>
      <c r="I19" t="s">
        <v>20</v>
      </c>
      <c r="J19" t="s">
        <v>21</v>
      </c>
      <c r="M19" t="s">
        <v>36</v>
      </c>
      <c r="N19" t="s">
        <v>43</v>
      </c>
      <c r="O19" t="s">
        <v>108</v>
      </c>
      <c r="P19">
        <v>0</v>
      </c>
      <c r="R19" t="s">
        <v>606</v>
      </c>
      <c r="S19">
        <f t="shared" si="2"/>
        <v>24</v>
      </c>
      <c r="T19">
        <f t="shared" si="1"/>
        <v>0</v>
      </c>
    </row>
    <row r="20" spans="1:20" x14ac:dyDescent="0.25">
      <c r="A20" t="s">
        <v>109</v>
      </c>
      <c r="B20" t="str">
        <f t="shared" si="0"/>
        <v>2013</v>
      </c>
      <c r="C20" t="s">
        <v>110</v>
      </c>
      <c r="D20" t="s">
        <v>111</v>
      </c>
      <c r="E20" t="s">
        <v>112</v>
      </c>
      <c r="G20" t="s">
        <v>18</v>
      </c>
      <c r="H20" t="s">
        <v>19</v>
      </c>
      <c r="I20" t="s">
        <v>20</v>
      </c>
      <c r="J20" t="s">
        <v>21</v>
      </c>
      <c r="M20" t="s">
        <v>36</v>
      </c>
      <c r="N20" t="s">
        <v>43</v>
      </c>
      <c r="O20" t="s">
        <v>113</v>
      </c>
      <c r="P20">
        <v>0</v>
      </c>
      <c r="R20" t="s">
        <v>607</v>
      </c>
      <c r="S20">
        <f t="shared" si="2"/>
        <v>24</v>
      </c>
      <c r="T20">
        <f t="shared" si="1"/>
        <v>0</v>
      </c>
    </row>
    <row r="21" spans="1:20" x14ac:dyDescent="0.25">
      <c r="A21" t="s">
        <v>114</v>
      </c>
      <c r="B21" t="str">
        <f t="shared" si="0"/>
        <v>2013</v>
      </c>
      <c r="C21" t="s">
        <v>115</v>
      </c>
      <c r="D21" t="s">
        <v>116</v>
      </c>
      <c r="E21" t="s">
        <v>117</v>
      </c>
      <c r="G21" t="s">
        <v>18</v>
      </c>
      <c r="H21" t="s">
        <v>19</v>
      </c>
      <c r="I21" t="s">
        <v>20</v>
      </c>
      <c r="J21" t="s">
        <v>21</v>
      </c>
      <c r="M21" t="s">
        <v>36</v>
      </c>
      <c r="N21" t="s">
        <v>43</v>
      </c>
      <c r="O21" t="s">
        <v>118</v>
      </c>
      <c r="P21">
        <v>0</v>
      </c>
      <c r="R21" t="s">
        <v>608</v>
      </c>
      <c r="S21">
        <f t="shared" si="2"/>
        <v>15</v>
      </c>
      <c r="T21">
        <f t="shared" si="1"/>
        <v>0</v>
      </c>
    </row>
    <row r="22" spans="1:20" x14ac:dyDescent="0.25">
      <c r="A22" t="s">
        <v>114</v>
      </c>
      <c r="B22" t="str">
        <f t="shared" si="0"/>
        <v>2013</v>
      </c>
      <c r="C22" t="s">
        <v>119</v>
      </c>
      <c r="D22" t="s">
        <v>120</v>
      </c>
      <c r="E22" t="s">
        <v>121</v>
      </c>
      <c r="G22" t="s">
        <v>18</v>
      </c>
      <c r="H22" t="s">
        <v>19</v>
      </c>
      <c r="I22" t="s">
        <v>20</v>
      </c>
      <c r="J22" t="s">
        <v>21</v>
      </c>
      <c r="M22" t="s">
        <v>36</v>
      </c>
      <c r="N22" t="s">
        <v>43</v>
      </c>
      <c r="O22" t="s">
        <v>108</v>
      </c>
      <c r="P22">
        <v>0</v>
      </c>
      <c r="R22" t="s">
        <v>609</v>
      </c>
      <c r="S22">
        <f t="shared" si="2"/>
        <v>8</v>
      </c>
      <c r="T22">
        <f t="shared" si="1"/>
        <v>0</v>
      </c>
    </row>
    <row r="23" spans="1:20" x14ac:dyDescent="0.25">
      <c r="A23" t="s">
        <v>122</v>
      </c>
      <c r="B23" t="str">
        <f t="shared" si="0"/>
        <v>2013</v>
      </c>
      <c r="C23" t="s">
        <v>123</v>
      </c>
      <c r="D23" t="s">
        <v>124</v>
      </c>
      <c r="E23" t="s">
        <v>125</v>
      </c>
      <c r="G23" t="s">
        <v>18</v>
      </c>
      <c r="H23" t="s">
        <v>19</v>
      </c>
      <c r="I23" t="s">
        <v>20</v>
      </c>
      <c r="J23" t="s">
        <v>21</v>
      </c>
      <c r="M23" t="s">
        <v>36</v>
      </c>
      <c r="N23" t="s">
        <v>43</v>
      </c>
      <c r="O23" t="s">
        <v>126</v>
      </c>
      <c r="P23">
        <v>0</v>
      </c>
      <c r="R23" t="s">
        <v>610</v>
      </c>
      <c r="S23">
        <f t="shared" si="2"/>
        <v>0</v>
      </c>
      <c r="T23">
        <f t="shared" si="1"/>
        <v>0</v>
      </c>
    </row>
    <row r="24" spans="1:20" x14ac:dyDescent="0.25">
      <c r="A24" t="s">
        <v>122</v>
      </c>
      <c r="B24" t="str">
        <f t="shared" si="0"/>
        <v>2013</v>
      </c>
      <c r="C24" t="s">
        <v>127</v>
      </c>
      <c r="D24" t="s">
        <v>128</v>
      </c>
      <c r="E24" t="s">
        <v>129</v>
      </c>
      <c r="G24" t="s">
        <v>18</v>
      </c>
      <c r="H24" t="s">
        <v>19</v>
      </c>
      <c r="I24" t="s">
        <v>20</v>
      </c>
      <c r="J24" t="s">
        <v>21</v>
      </c>
      <c r="M24" t="s">
        <v>36</v>
      </c>
      <c r="N24" t="s">
        <v>43</v>
      </c>
      <c r="O24" t="s">
        <v>31</v>
      </c>
      <c r="P24">
        <v>0</v>
      </c>
      <c r="R24" t="s">
        <v>611</v>
      </c>
      <c r="S24">
        <f t="shared" si="2"/>
        <v>1</v>
      </c>
      <c r="T24">
        <f t="shared" si="1"/>
        <v>0</v>
      </c>
    </row>
    <row r="25" spans="1:20" x14ac:dyDescent="0.25">
      <c r="A25" t="s">
        <v>122</v>
      </c>
      <c r="B25" t="str">
        <f t="shared" si="0"/>
        <v>2013</v>
      </c>
      <c r="C25" t="s">
        <v>130</v>
      </c>
      <c r="D25" t="s">
        <v>131</v>
      </c>
      <c r="E25" t="s">
        <v>132</v>
      </c>
      <c r="G25" t="s">
        <v>18</v>
      </c>
      <c r="H25" t="s">
        <v>19</v>
      </c>
      <c r="I25" t="s">
        <v>20</v>
      </c>
      <c r="J25" t="s">
        <v>21</v>
      </c>
      <c r="M25" t="s">
        <v>36</v>
      </c>
      <c r="N25" t="s">
        <v>43</v>
      </c>
      <c r="O25" t="s">
        <v>133</v>
      </c>
      <c r="P25">
        <v>0</v>
      </c>
      <c r="R25" t="s">
        <v>612</v>
      </c>
      <c r="S25">
        <f t="shared" si="2"/>
        <v>2</v>
      </c>
      <c r="T25">
        <f t="shared" si="1"/>
        <v>0</v>
      </c>
    </row>
    <row r="26" spans="1:20" x14ac:dyDescent="0.25">
      <c r="A26" t="s">
        <v>134</v>
      </c>
      <c r="B26" t="str">
        <f t="shared" si="0"/>
        <v>2013</v>
      </c>
      <c r="C26" t="s">
        <v>135</v>
      </c>
      <c r="D26" t="s">
        <v>136</v>
      </c>
      <c r="E26" t="s">
        <v>137</v>
      </c>
      <c r="G26" t="s">
        <v>18</v>
      </c>
      <c r="H26" t="s">
        <v>19</v>
      </c>
      <c r="I26" t="s">
        <v>20</v>
      </c>
      <c r="J26" t="s">
        <v>21</v>
      </c>
      <c r="M26" t="s">
        <v>36</v>
      </c>
      <c r="N26" t="s">
        <v>43</v>
      </c>
      <c r="O26" t="s">
        <v>138</v>
      </c>
      <c r="P26">
        <v>0</v>
      </c>
      <c r="R26" t="s">
        <v>613</v>
      </c>
      <c r="S26">
        <f t="shared" si="2"/>
        <v>0</v>
      </c>
      <c r="T26">
        <f t="shared" si="1"/>
        <v>0</v>
      </c>
    </row>
    <row r="27" spans="1:20" x14ac:dyDescent="0.25">
      <c r="A27" t="s">
        <v>139</v>
      </c>
      <c r="B27" t="str">
        <f t="shared" si="0"/>
        <v>2013</v>
      </c>
      <c r="C27" t="s">
        <v>140</v>
      </c>
      <c r="D27" t="s">
        <v>141</v>
      </c>
      <c r="E27" t="s">
        <v>142</v>
      </c>
      <c r="G27" t="s">
        <v>18</v>
      </c>
      <c r="H27" t="s">
        <v>19</v>
      </c>
      <c r="I27" t="s">
        <v>20</v>
      </c>
      <c r="J27" t="s">
        <v>21</v>
      </c>
      <c r="M27" t="s">
        <v>36</v>
      </c>
      <c r="N27" t="s">
        <v>43</v>
      </c>
      <c r="O27" t="s">
        <v>143</v>
      </c>
      <c r="P27">
        <v>0</v>
      </c>
      <c r="R27" t="s">
        <v>614</v>
      </c>
      <c r="S27">
        <f t="shared" si="2"/>
        <v>0</v>
      </c>
      <c r="T27">
        <f t="shared" si="1"/>
        <v>0</v>
      </c>
    </row>
    <row r="28" spans="1:20" x14ac:dyDescent="0.25">
      <c r="A28" t="s">
        <v>139</v>
      </c>
      <c r="B28" t="str">
        <f t="shared" si="0"/>
        <v>2013</v>
      </c>
      <c r="C28" t="s">
        <v>144</v>
      </c>
      <c r="D28" t="s">
        <v>145</v>
      </c>
      <c r="E28" t="s">
        <v>146</v>
      </c>
      <c r="G28" t="s">
        <v>18</v>
      </c>
      <c r="H28" t="s">
        <v>19</v>
      </c>
      <c r="I28" t="s">
        <v>20</v>
      </c>
      <c r="J28" t="s">
        <v>21</v>
      </c>
      <c r="M28" t="s">
        <v>36</v>
      </c>
      <c r="N28" t="s">
        <v>43</v>
      </c>
      <c r="O28" t="s">
        <v>147</v>
      </c>
      <c r="P28">
        <v>0</v>
      </c>
      <c r="R28" t="s">
        <v>615</v>
      </c>
      <c r="S28">
        <f t="shared" si="2"/>
        <v>1</v>
      </c>
      <c r="T28">
        <f t="shared" si="1"/>
        <v>0</v>
      </c>
    </row>
    <row r="29" spans="1:20" x14ac:dyDescent="0.25">
      <c r="A29" t="s">
        <v>148</v>
      </c>
      <c r="B29" t="str">
        <f t="shared" si="0"/>
        <v>2013</v>
      </c>
      <c r="C29" t="s">
        <v>149</v>
      </c>
      <c r="D29" t="s">
        <v>150</v>
      </c>
      <c r="E29" t="s">
        <v>151</v>
      </c>
      <c r="G29" t="s">
        <v>18</v>
      </c>
      <c r="H29" t="s">
        <v>19</v>
      </c>
      <c r="I29" t="s">
        <v>20</v>
      </c>
      <c r="J29" t="s">
        <v>21</v>
      </c>
      <c r="M29" t="s">
        <v>36</v>
      </c>
      <c r="N29" t="s">
        <v>43</v>
      </c>
      <c r="O29" t="s">
        <v>152</v>
      </c>
      <c r="P29">
        <v>0</v>
      </c>
      <c r="R29" t="s">
        <v>616</v>
      </c>
      <c r="S29">
        <f t="shared" si="2"/>
        <v>0</v>
      </c>
      <c r="T29">
        <f t="shared" si="1"/>
        <v>0</v>
      </c>
    </row>
    <row r="30" spans="1:20" x14ac:dyDescent="0.25">
      <c r="A30" t="s">
        <v>148</v>
      </c>
      <c r="B30" t="str">
        <f t="shared" si="0"/>
        <v>2013</v>
      </c>
      <c r="C30" t="s">
        <v>153</v>
      </c>
      <c r="D30" t="s">
        <v>154</v>
      </c>
      <c r="E30" t="s">
        <v>155</v>
      </c>
      <c r="G30" t="s">
        <v>18</v>
      </c>
      <c r="H30" t="s">
        <v>19</v>
      </c>
      <c r="I30" t="s">
        <v>20</v>
      </c>
      <c r="J30" t="s">
        <v>21</v>
      </c>
      <c r="M30" t="s">
        <v>36</v>
      </c>
      <c r="N30" t="s">
        <v>43</v>
      </c>
      <c r="O30" t="s">
        <v>156</v>
      </c>
      <c r="P30">
        <v>0</v>
      </c>
      <c r="R30" t="s">
        <v>617</v>
      </c>
      <c r="S30">
        <f>COUNTIF(B:B,R30)</f>
        <v>0</v>
      </c>
      <c r="T30">
        <f>COUNTIFS(B:B,R30,P:P,1)</f>
        <v>0</v>
      </c>
    </row>
    <row r="31" spans="1:20" x14ac:dyDescent="0.25">
      <c r="A31" t="s">
        <v>148</v>
      </c>
      <c r="B31" t="str">
        <f t="shared" si="0"/>
        <v>2013</v>
      </c>
      <c r="C31" t="s">
        <v>157</v>
      </c>
      <c r="D31" t="s">
        <v>158</v>
      </c>
      <c r="E31" t="s">
        <v>159</v>
      </c>
      <c r="G31" t="s">
        <v>18</v>
      </c>
      <c r="H31" t="s">
        <v>19</v>
      </c>
      <c r="I31" t="s">
        <v>20</v>
      </c>
      <c r="J31" t="s">
        <v>21</v>
      </c>
      <c r="M31" t="s">
        <v>36</v>
      </c>
      <c r="N31" t="s">
        <v>43</v>
      </c>
      <c r="O31" t="s">
        <v>160</v>
      </c>
      <c r="P31">
        <v>0</v>
      </c>
    </row>
    <row r="32" spans="1:20" x14ac:dyDescent="0.25">
      <c r="A32" t="s">
        <v>148</v>
      </c>
      <c r="B32" t="str">
        <f t="shared" si="0"/>
        <v>2013</v>
      </c>
      <c r="C32" t="s">
        <v>161</v>
      </c>
      <c r="D32" t="s">
        <v>162</v>
      </c>
      <c r="E32" t="s">
        <v>163</v>
      </c>
      <c r="G32" t="s">
        <v>18</v>
      </c>
      <c r="H32" t="s">
        <v>19</v>
      </c>
      <c r="I32" t="s">
        <v>20</v>
      </c>
      <c r="J32" t="s">
        <v>21</v>
      </c>
      <c r="M32" t="s">
        <v>36</v>
      </c>
      <c r="N32" t="s">
        <v>43</v>
      </c>
      <c r="O32" t="s">
        <v>160</v>
      </c>
      <c r="P32">
        <v>0</v>
      </c>
    </row>
    <row r="33" spans="1:16" x14ac:dyDescent="0.25">
      <c r="A33" t="s">
        <v>148</v>
      </c>
      <c r="B33" t="str">
        <f t="shared" si="0"/>
        <v>2013</v>
      </c>
      <c r="C33" t="s">
        <v>164</v>
      </c>
      <c r="D33" t="s">
        <v>165</v>
      </c>
      <c r="E33" t="s">
        <v>166</v>
      </c>
      <c r="G33" t="s">
        <v>18</v>
      </c>
      <c r="H33" t="s">
        <v>19</v>
      </c>
      <c r="I33" t="s">
        <v>20</v>
      </c>
      <c r="J33" t="s">
        <v>21</v>
      </c>
      <c r="M33" t="s">
        <v>36</v>
      </c>
      <c r="N33" t="s">
        <v>43</v>
      </c>
      <c r="O33" t="s">
        <v>160</v>
      </c>
      <c r="P33">
        <v>0</v>
      </c>
    </row>
    <row r="34" spans="1:16" x14ac:dyDescent="0.25">
      <c r="A34" t="s">
        <v>167</v>
      </c>
      <c r="B34" t="str">
        <f t="shared" si="0"/>
        <v>2013</v>
      </c>
      <c r="C34" t="s">
        <v>168</v>
      </c>
      <c r="D34" t="s">
        <v>169</v>
      </c>
      <c r="E34" t="s">
        <v>170</v>
      </c>
      <c r="G34" t="s">
        <v>18</v>
      </c>
      <c r="H34" t="s">
        <v>19</v>
      </c>
      <c r="I34" t="s">
        <v>20</v>
      </c>
      <c r="J34" t="s">
        <v>21</v>
      </c>
      <c r="M34" t="s">
        <v>36</v>
      </c>
      <c r="N34" t="s">
        <v>43</v>
      </c>
      <c r="O34" t="s">
        <v>171</v>
      </c>
      <c r="P34">
        <v>0</v>
      </c>
    </row>
    <row r="35" spans="1:16" x14ac:dyDescent="0.25">
      <c r="A35" t="s">
        <v>172</v>
      </c>
      <c r="B35" t="str">
        <f t="shared" si="0"/>
        <v>2013</v>
      </c>
      <c r="C35" t="s">
        <v>173</v>
      </c>
      <c r="D35" t="s">
        <v>174</v>
      </c>
      <c r="E35" t="s">
        <v>175</v>
      </c>
      <c r="G35" t="s">
        <v>18</v>
      </c>
      <c r="H35" t="s">
        <v>19</v>
      </c>
      <c r="I35" t="s">
        <v>20</v>
      </c>
      <c r="J35" t="s">
        <v>21</v>
      </c>
      <c r="M35" t="s">
        <v>36</v>
      </c>
      <c r="N35" t="s">
        <v>43</v>
      </c>
      <c r="O35" t="s">
        <v>156</v>
      </c>
      <c r="P35">
        <v>0</v>
      </c>
    </row>
    <row r="36" spans="1:16" x14ac:dyDescent="0.25">
      <c r="A36" t="s">
        <v>176</v>
      </c>
      <c r="B36" t="str">
        <f t="shared" si="0"/>
        <v>2013</v>
      </c>
      <c r="C36" t="s">
        <v>177</v>
      </c>
      <c r="D36" t="s">
        <v>178</v>
      </c>
      <c r="E36" t="s">
        <v>179</v>
      </c>
      <c r="G36" t="s">
        <v>18</v>
      </c>
      <c r="H36" t="s">
        <v>19</v>
      </c>
      <c r="I36" t="s">
        <v>20</v>
      </c>
      <c r="J36" t="s">
        <v>21</v>
      </c>
      <c r="M36" t="s">
        <v>36</v>
      </c>
      <c r="N36" t="s">
        <v>43</v>
      </c>
      <c r="O36" t="s">
        <v>180</v>
      </c>
      <c r="P36">
        <v>0</v>
      </c>
    </row>
    <row r="37" spans="1:16" x14ac:dyDescent="0.25">
      <c r="A37" t="s">
        <v>181</v>
      </c>
      <c r="B37" t="str">
        <f t="shared" si="0"/>
        <v>2013</v>
      </c>
      <c r="C37" t="s">
        <v>182</v>
      </c>
      <c r="D37" t="s">
        <v>183</v>
      </c>
      <c r="E37" t="s">
        <v>184</v>
      </c>
      <c r="G37" t="s">
        <v>18</v>
      </c>
      <c r="H37" t="s">
        <v>19</v>
      </c>
      <c r="I37" t="s">
        <v>20</v>
      </c>
      <c r="J37" t="s">
        <v>21</v>
      </c>
      <c r="M37" t="s">
        <v>36</v>
      </c>
      <c r="N37" t="s">
        <v>43</v>
      </c>
      <c r="O37" t="s">
        <v>185</v>
      </c>
      <c r="P37">
        <v>0</v>
      </c>
    </row>
    <row r="38" spans="1:16" x14ac:dyDescent="0.25">
      <c r="A38" t="s">
        <v>186</v>
      </c>
      <c r="B38" t="str">
        <f t="shared" si="0"/>
        <v>2013</v>
      </c>
      <c r="C38" t="s">
        <v>187</v>
      </c>
      <c r="D38" t="s">
        <v>188</v>
      </c>
      <c r="E38" t="s">
        <v>189</v>
      </c>
      <c r="G38" t="s">
        <v>18</v>
      </c>
      <c r="H38" t="s">
        <v>19</v>
      </c>
      <c r="I38" t="s">
        <v>20</v>
      </c>
      <c r="J38" t="s">
        <v>21</v>
      </c>
      <c r="M38" t="s">
        <v>36</v>
      </c>
      <c r="N38" t="s">
        <v>43</v>
      </c>
      <c r="O38" t="s">
        <v>190</v>
      </c>
      <c r="P38">
        <v>0</v>
      </c>
    </row>
    <row r="39" spans="1:16" x14ac:dyDescent="0.25">
      <c r="A39" t="s">
        <v>186</v>
      </c>
      <c r="B39" t="str">
        <f t="shared" si="0"/>
        <v>2013</v>
      </c>
      <c r="C39" t="s">
        <v>191</v>
      </c>
      <c r="D39" t="s">
        <v>192</v>
      </c>
      <c r="E39" t="s">
        <v>193</v>
      </c>
      <c r="G39" t="s">
        <v>18</v>
      </c>
      <c r="H39" t="s">
        <v>19</v>
      </c>
      <c r="I39" t="s">
        <v>20</v>
      </c>
      <c r="J39" t="s">
        <v>21</v>
      </c>
      <c r="M39" t="s">
        <v>36</v>
      </c>
      <c r="N39" t="s">
        <v>43</v>
      </c>
      <c r="O39" t="s">
        <v>160</v>
      </c>
      <c r="P39">
        <v>0</v>
      </c>
    </row>
    <row r="40" spans="1:16" x14ac:dyDescent="0.25">
      <c r="A40" t="s">
        <v>194</v>
      </c>
      <c r="B40" t="str">
        <f t="shared" si="0"/>
        <v>2013</v>
      </c>
      <c r="C40" t="s">
        <v>195</v>
      </c>
      <c r="D40" t="s">
        <v>196</v>
      </c>
      <c r="E40" t="s">
        <v>197</v>
      </c>
      <c r="G40" t="s">
        <v>18</v>
      </c>
      <c r="H40" t="s">
        <v>19</v>
      </c>
      <c r="I40" t="s">
        <v>20</v>
      </c>
      <c r="J40" t="s">
        <v>21</v>
      </c>
      <c r="M40" t="s">
        <v>198</v>
      </c>
      <c r="N40" t="s">
        <v>199</v>
      </c>
      <c r="O40" t="s">
        <v>200</v>
      </c>
      <c r="P40">
        <v>0</v>
      </c>
    </row>
    <row r="41" spans="1:16" x14ac:dyDescent="0.25">
      <c r="A41" t="s">
        <v>201</v>
      </c>
      <c r="B41" t="str">
        <f t="shared" si="0"/>
        <v>2013</v>
      </c>
      <c r="C41" t="s">
        <v>202</v>
      </c>
      <c r="D41" t="s">
        <v>203</v>
      </c>
      <c r="E41" t="s">
        <v>204</v>
      </c>
      <c r="G41" t="s">
        <v>18</v>
      </c>
      <c r="H41" t="s">
        <v>19</v>
      </c>
      <c r="I41" t="s">
        <v>20</v>
      </c>
      <c r="J41" t="s">
        <v>21</v>
      </c>
      <c r="M41" t="s">
        <v>36</v>
      </c>
      <c r="N41" t="s">
        <v>43</v>
      </c>
      <c r="O41" t="s">
        <v>44</v>
      </c>
      <c r="P41">
        <v>0</v>
      </c>
    </row>
    <row r="42" spans="1:16" x14ac:dyDescent="0.25">
      <c r="A42" t="s">
        <v>201</v>
      </c>
      <c r="B42" t="str">
        <f t="shared" si="0"/>
        <v>2013</v>
      </c>
      <c r="C42" t="s">
        <v>205</v>
      </c>
      <c r="D42" t="s">
        <v>206</v>
      </c>
      <c r="E42" t="s">
        <v>207</v>
      </c>
      <c r="G42" t="s">
        <v>18</v>
      </c>
      <c r="H42" t="s">
        <v>19</v>
      </c>
      <c r="I42" t="s">
        <v>20</v>
      </c>
      <c r="J42" t="s">
        <v>21</v>
      </c>
      <c r="M42" t="s">
        <v>36</v>
      </c>
      <c r="N42" t="s">
        <v>43</v>
      </c>
      <c r="O42" t="s">
        <v>208</v>
      </c>
      <c r="P42">
        <v>0</v>
      </c>
    </row>
    <row r="43" spans="1:16" x14ac:dyDescent="0.25">
      <c r="A43" t="s">
        <v>201</v>
      </c>
      <c r="B43" t="str">
        <f t="shared" si="0"/>
        <v>2013</v>
      </c>
      <c r="C43" t="s">
        <v>209</v>
      </c>
      <c r="D43" t="s">
        <v>210</v>
      </c>
      <c r="E43" t="s">
        <v>211</v>
      </c>
      <c r="G43" t="s">
        <v>18</v>
      </c>
      <c r="H43" t="s">
        <v>19</v>
      </c>
      <c r="I43" t="s">
        <v>20</v>
      </c>
      <c r="J43" t="s">
        <v>21</v>
      </c>
      <c r="M43" t="s">
        <v>36</v>
      </c>
      <c r="N43" t="s">
        <v>43</v>
      </c>
      <c r="O43" t="s">
        <v>212</v>
      </c>
      <c r="P43">
        <v>0</v>
      </c>
    </row>
    <row r="44" spans="1:16" x14ac:dyDescent="0.25">
      <c r="A44" t="s">
        <v>213</v>
      </c>
      <c r="B44" t="str">
        <f t="shared" si="0"/>
        <v>2013</v>
      </c>
      <c r="C44" t="s">
        <v>214</v>
      </c>
      <c r="D44" t="s">
        <v>215</v>
      </c>
      <c r="E44" t="s">
        <v>216</v>
      </c>
      <c r="G44" t="s">
        <v>18</v>
      </c>
      <c r="H44" t="s">
        <v>19</v>
      </c>
      <c r="I44" t="s">
        <v>20</v>
      </c>
      <c r="J44" t="s">
        <v>21</v>
      </c>
      <c r="M44" t="s">
        <v>36</v>
      </c>
      <c r="N44" t="s">
        <v>43</v>
      </c>
      <c r="O44" t="s">
        <v>217</v>
      </c>
      <c r="P44">
        <v>0</v>
      </c>
    </row>
    <row r="45" spans="1:16" x14ac:dyDescent="0.25">
      <c r="A45" t="s">
        <v>213</v>
      </c>
      <c r="B45" t="str">
        <f t="shared" si="0"/>
        <v>2013</v>
      </c>
      <c r="C45" t="s">
        <v>218</v>
      </c>
      <c r="D45" t="s">
        <v>219</v>
      </c>
      <c r="E45" t="s">
        <v>220</v>
      </c>
      <c r="G45" t="s">
        <v>18</v>
      </c>
      <c r="H45" t="s">
        <v>19</v>
      </c>
      <c r="I45" t="s">
        <v>20</v>
      </c>
      <c r="J45" t="s">
        <v>21</v>
      </c>
      <c r="M45" t="s">
        <v>36</v>
      </c>
      <c r="N45" t="s">
        <v>43</v>
      </c>
      <c r="O45" t="s">
        <v>133</v>
      </c>
      <c r="P45">
        <v>0</v>
      </c>
    </row>
    <row r="46" spans="1:16" x14ac:dyDescent="0.25">
      <c r="A46" t="s">
        <v>213</v>
      </c>
      <c r="B46" t="str">
        <f t="shared" si="0"/>
        <v>2013</v>
      </c>
      <c r="C46" t="s">
        <v>221</v>
      </c>
      <c r="D46" t="s">
        <v>222</v>
      </c>
      <c r="E46" t="s">
        <v>223</v>
      </c>
      <c r="G46" t="s">
        <v>18</v>
      </c>
      <c r="H46" t="s">
        <v>19</v>
      </c>
      <c r="I46" t="s">
        <v>20</v>
      </c>
      <c r="J46" t="s">
        <v>21</v>
      </c>
      <c r="M46" t="s">
        <v>36</v>
      </c>
      <c r="N46" t="s">
        <v>43</v>
      </c>
      <c r="O46" t="s">
        <v>224</v>
      </c>
      <c r="P46">
        <v>0</v>
      </c>
    </row>
    <row r="47" spans="1:16" x14ac:dyDescent="0.25">
      <c r="A47" t="s">
        <v>225</v>
      </c>
      <c r="B47" t="str">
        <f t="shared" si="0"/>
        <v>2013</v>
      </c>
      <c r="C47" t="s">
        <v>226</v>
      </c>
      <c r="D47" t="s">
        <v>227</v>
      </c>
      <c r="E47" t="s">
        <v>228</v>
      </c>
      <c r="G47" t="s">
        <v>18</v>
      </c>
      <c r="H47" t="s">
        <v>19</v>
      </c>
      <c r="I47" t="s">
        <v>20</v>
      </c>
      <c r="J47" t="s">
        <v>21</v>
      </c>
      <c r="M47" t="s">
        <v>198</v>
      </c>
      <c r="N47" t="s">
        <v>199</v>
      </c>
      <c r="O47" t="s">
        <v>229</v>
      </c>
      <c r="P47">
        <v>0</v>
      </c>
    </row>
    <row r="48" spans="1:16" x14ac:dyDescent="0.25">
      <c r="A48" t="s">
        <v>230</v>
      </c>
      <c r="B48" t="str">
        <f t="shared" si="0"/>
        <v>2014</v>
      </c>
      <c r="C48" t="s">
        <v>231</v>
      </c>
      <c r="D48" t="s">
        <v>232</v>
      </c>
      <c r="E48" t="s">
        <v>233</v>
      </c>
      <c r="G48" t="s">
        <v>18</v>
      </c>
      <c r="H48" t="s">
        <v>19</v>
      </c>
      <c r="I48" t="s">
        <v>20</v>
      </c>
      <c r="J48" t="s">
        <v>21</v>
      </c>
      <c r="M48" t="s">
        <v>36</v>
      </c>
      <c r="N48" t="s">
        <v>43</v>
      </c>
      <c r="O48" t="s">
        <v>143</v>
      </c>
      <c r="P48">
        <v>0</v>
      </c>
    </row>
    <row r="49" spans="1:16" x14ac:dyDescent="0.25">
      <c r="A49" t="s">
        <v>234</v>
      </c>
      <c r="B49" t="str">
        <f t="shared" si="0"/>
        <v>2014</v>
      </c>
      <c r="C49" t="s">
        <v>235</v>
      </c>
      <c r="D49" t="s">
        <v>236</v>
      </c>
      <c r="E49" t="s">
        <v>237</v>
      </c>
      <c r="G49" t="s">
        <v>18</v>
      </c>
      <c r="H49" t="s">
        <v>19</v>
      </c>
      <c r="I49" t="s">
        <v>20</v>
      </c>
      <c r="J49" t="s">
        <v>21</v>
      </c>
      <c r="M49" t="s">
        <v>36</v>
      </c>
      <c r="N49" t="s">
        <v>43</v>
      </c>
      <c r="O49" t="s">
        <v>143</v>
      </c>
      <c r="P49">
        <v>0</v>
      </c>
    </row>
    <row r="50" spans="1:16" x14ac:dyDescent="0.25">
      <c r="A50" t="s">
        <v>238</v>
      </c>
      <c r="B50" t="str">
        <f t="shared" si="0"/>
        <v>2014</v>
      </c>
      <c r="C50" t="s">
        <v>239</v>
      </c>
      <c r="D50" t="s">
        <v>240</v>
      </c>
      <c r="E50" t="s">
        <v>241</v>
      </c>
      <c r="G50" t="s">
        <v>18</v>
      </c>
      <c r="H50" t="s">
        <v>19</v>
      </c>
      <c r="I50" t="s">
        <v>20</v>
      </c>
      <c r="J50" t="s">
        <v>21</v>
      </c>
      <c r="M50" t="s">
        <v>36</v>
      </c>
      <c r="N50" t="s">
        <v>43</v>
      </c>
      <c r="P50">
        <v>0</v>
      </c>
    </row>
    <row r="51" spans="1:16" x14ac:dyDescent="0.25">
      <c r="A51" t="s">
        <v>238</v>
      </c>
      <c r="B51" t="str">
        <f t="shared" si="0"/>
        <v>2014</v>
      </c>
      <c r="C51" t="s">
        <v>242</v>
      </c>
      <c r="D51" t="s">
        <v>243</v>
      </c>
      <c r="E51" t="s">
        <v>244</v>
      </c>
      <c r="G51" t="s">
        <v>18</v>
      </c>
      <c r="H51" t="s">
        <v>19</v>
      </c>
      <c r="I51" t="s">
        <v>20</v>
      </c>
      <c r="J51" t="s">
        <v>21</v>
      </c>
      <c r="M51" t="s">
        <v>36</v>
      </c>
      <c r="N51" t="s">
        <v>43</v>
      </c>
      <c r="O51" t="s">
        <v>245</v>
      </c>
      <c r="P51">
        <v>0</v>
      </c>
    </row>
    <row r="52" spans="1:16" x14ac:dyDescent="0.25">
      <c r="A52" t="s">
        <v>246</v>
      </c>
      <c r="B52" t="str">
        <f t="shared" si="0"/>
        <v>2014</v>
      </c>
      <c r="C52" t="s">
        <v>247</v>
      </c>
      <c r="D52" t="s">
        <v>248</v>
      </c>
      <c r="E52" t="s">
        <v>249</v>
      </c>
      <c r="G52" t="s">
        <v>18</v>
      </c>
      <c r="H52" t="s">
        <v>19</v>
      </c>
      <c r="I52" t="s">
        <v>20</v>
      </c>
      <c r="J52" t="s">
        <v>21</v>
      </c>
      <c r="M52" t="s">
        <v>36</v>
      </c>
      <c r="N52" t="s">
        <v>43</v>
      </c>
      <c r="O52" t="s">
        <v>250</v>
      </c>
      <c r="P52">
        <v>0</v>
      </c>
    </row>
    <row r="53" spans="1:16" x14ac:dyDescent="0.25">
      <c r="A53" t="s">
        <v>246</v>
      </c>
      <c r="B53" t="str">
        <f t="shared" si="0"/>
        <v>2014</v>
      </c>
      <c r="C53" t="s">
        <v>251</v>
      </c>
      <c r="D53" t="s">
        <v>252</v>
      </c>
      <c r="E53" t="s">
        <v>253</v>
      </c>
      <c r="G53" t="s">
        <v>18</v>
      </c>
      <c r="H53" t="s">
        <v>19</v>
      </c>
      <c r="I53" t="s">
        <v>20</v>
      </c>
      <c r="J53" t="s">
        <v>21</v>
      </c>
      <c r="M53" t="s">
        <v>36</v>
      </c>
      <c r="N53" t="s">
        <v>43</v>
      </c>
      <c r="O53" t="s">
        <v>143</v>
      </c>
      <c r="P53">
        <v>0</v>
      </c>
    </row>
    <row r="54" spans="1:16" x14ac:dyDescent="0.25">
      <c r="A54" t="s">
        <v>254</v>
      </c>
      <c r="B54" t="str">
        <f t="shared" si="0"/>
        <v>2014</v>
      </c>
      <c r="C54" t="s">
        <v>255</v>
      </c>
      <c r="D54" t="s">
        <v>256</v>
      </c>
      <c r="E54" t="s">
        <v>257</v>
      </c>
      <c r="G54" t="s">
        <v>18</v>
      </c>
      <c r="H54" t="s">
        <v>19</v>
      </c>
      <c r="I54" t="s">
        <v>20</v>
      </c>
      <c r="J54" t="s">
        <v>21</v>
      </c>
      <c r="M54" t="s">
        <v>36</v>
      </c>
      <c r="N54" t="s">
        <v>43</v>
      </c>
      <c r="O54" t="s">
        <v>258</v>
      </c>
      <c r="P54">
        <v>0</v>
      </c>
    </row>
    <row r="55" spans="1:16" x14ac:dyDescent="0.25">
      <c r="A55" t="s">
        <v>259</v>
      </c>
      <c r="B55" t="str">
        <f t="shared" si="0"/>
        <v>2014</v>
      </c>
      <c r="C55" t="s">
        <v>260</v>
      </c>
      <c r="D55" t="s">
        <v>261</v>
      </c>
      <c r="E55" t="s">
        <v>262</v>
      </c>
      <c r="G55" t="s">
        <v>18</v>
      </c>
      <c r="H55" t="s">
        <v>19</v>
      </c>
      <c r="I55" t="s">
        <v>20</v>
      </c>
      <c r="J55" t="s">
        <v>21</v>
      </c>
      <c r="M55" t="s">
        <v>36</v>
      </c>
      <c r="N55" t="s">
        <v>43</v>
      </c>
      <c r="O55" t="s">
        <v>263</v>
      </c>
      <c r="P55">
        <v>0</v>
      </c>
    </row>
    <row r="56" spans="1:16" x14ac:dyDescent="0.25">
      <c r="A56" t="s">
        <v>259</v>
      </c>
      <c r="B56" t="str">
        <f t="shared" si="0"/>
        <v>2014</v>
      </c>
      <c r="C56" t="s">
        <v>264</v>
      </c>
      <c r="D56" t="s">
        <v>265</v>
      </c>
      <c r="E56" t="s">
        <v>266</v>
      </c>
      <c r="G56" t="s">
        <v>18</v>
      </c>
      <c r="H56" t="s">
        <v>19</v>
      </c>
      <c r="I56" t="s">
        <v>20</v>
      </c>
      <c r="J56" t="s">
        <v>21</v>
      </c>
      <c r="M56" t="s">
        <v>36</v>
      </c>
      <c r="N56" t="s">
        <v>43</v>
      </c>
      <c r="O56" t="s">
        <v>267</v>
      </c>
      <c r="P56">
        <v>0</v>
      </c>
    </row>
    <row r="57" spans="1:16" x14ac:dyDescent="0.25">
      <c r="A57" t="s">
        <v>268</v>
      </c>
      <c r="B57" t="str">
        <f t="shared" si="0"/>
        <v>2014</v>
      </c>
      <c r="C57" t="s">
        <v>269</v>
      </c>
      <c r="D57" t="s">
        <v>270</v>
      </c>
      <c r="E57" t="s">
        <v>271</v>
      </c>
      <c r="G57" t="s">
        <v>18</v>
      </c>
      <c r="H57" t="s">
        <v>19</v>
      </c>
      <c r="I57" t="s">
        <v>20</v>
      </c>
      <c r="J57" t="s">
        <v>21</v>
      </c>
      <c r="M57" t="s">
        <v>36</v>
      </c>
      <c r="N57" t="s">
        <v>43</v>
      </c>
      <c r="P57">
        <v>0</v>
      </c>
    </row>
    <row r="58" spans="1:16" x14ac:dyDescent="0.25">
      <c r="A58" t="s">
        <v>272</v>
      </c>
      <c r="B58" t="str">
        <f t="shared" si="0"/>
        <v>2014</v>
      </c>
      <c r="C58" t="s">
        <v>273</v>
      </c>
      <c r="D58" t="s">
        <v>274</v>
      </c>
      <c r="E58" t="s">
        <v>275</v>
      </c>
      <c r="G58" t="s">
        <v>18</v>
      </c>
      <c r="H58" t="s">
        <v>19</v>
      </c>
      <c r="I58" t="s">
        <v>20</v>
      </c>
      <c r="J58" t="s">
        <v>21</v>
      </c>
      <c r="M58" t="s">
        <v>36</v>
      </c>
      <c r="N58" t="s">
        <v>43</v>
      </c>
      <c r="O58" t="s">
        <v>276</v>
      </c>
      <c r="P58">
        <v>0</v>
      </c>
    </row>
    <row r="59" spans="1:16" x14ac:dyDescent="0.25">
      <c r="A59" t="s">
        <v>272</v>
      </c>
      <c r="B59" t="str">
        <f t="shared" si="0"/>
        <v>2014</v>
      </c>
      <c r="C59" t="s">
        <v>277</v>
      </c>
      <c r="D59" t="s">
        <v>278</v>
      </c>
      <c r="E59" t="s">
        <v>279</v>
      </c>
      <c r="G59" t="s">
        <v>18</v>
      </c>
      <c r="H59" t="s">
        <v>19</v>
      </c>
      <c r="I59" t="s">
        <v>20</v>
      </c>
      <c r="J59" t="s">
        <v>21</v>
      </c>
      <c r="M59" t="s">
        <v>36</v>
      </c>
      <c r="N59" t="s">
        <v>43</v>
      </c>
      <c r="O59" t="s">
        <v>103</v>
      </c>
      <c r="P59">
        <v>0</v>
      </c>
    </row>
    <row r="60" spans="1:16" x14ac:dyDescent="0.25">
      <c r="A60" t="s">
        <v>280</v>
      </c>
      <c r="B60" t="str">
        <f t="shared" si="0"/>
        <v>2014</v>
      </c>
      <c r="C60" t="s">
        <v>281</v>
      </c>
      <c r="D60" t="s">
        <v>282</v>
      </c>
      <c r="E60" t="s">
        <v>283</v>
      </c>
      <c r="G60" t="s">
        <v>18</v>
      </c>
      <c r="H60" t="s">
        <v>19</v>
      </c>
      <c r="I60" t="s">
        <v>20</v>
      </c>
      <c r="J60" t="s">
        <v>21</v>
      </c>
      <c r="M60" t="s">
        <v>36</v>
      </c>
      <c r="N60" t="s">
        <v>43</v>
      </c>
      <c r="O60" t="s">
        <v>103</v>
      </c>
      <c r="P60">
        <v>0</v>
      </c>
    </row>
    <row r="61" spans="1:16" x14ac:dyDescent="0.25">
      <c r="A61" t="s">
        <v>284</v>
      </c>
      <c r="B61" t="str">
        <f t="shared" si="0"/>
        <v>2014</v>
      </c>
      <c r="C61" t="s">
        <v>285</v>
      </c>
      <c r="D61" t="s">
        <v>286</v>
      </c>
      <c r="E61" t="s">
        <v>287</v>
      </c>
      <c r="G61" t="s">
        <v>18</v>
      </c>
      <c r="H61" t="s">
        <v>19</v>
      </c>
      <c r="I61" t="s">
        <v>20</v>
      </c>
      <c r="J61" t="s">
        <v>21</v>
      </c>
      <c r="M61" t="s">
        <v>36</v>
      </c>
      <c r="N61" t="s">
        <v>43</v>
      </c>
      <c r="O61" t="s">
        <v>288</v>
      </c>
      <c r="P61">
        <v>0</v>
      </c>
    </row>
    <row r="62" spans="1:16" x14ac:dyDescent="0.25">
      <c r="A62" t="s">
        <v>289</v>
      </c>
      <c r="B62" t="str">
        <f t="shared" si="0"/>
        <v>2014</v>
      </c>
      <c r="C62" t="s">
        <v>290</v>
      </c>
      <c r="D62" t="s">
        <v>291</v>
      </c>
      <c r="E62" t="s">
        <v>292</v>
      </c>
      <c r="G62" t="s">
        <v>18</v>
      </c>
      <c r="H62" t="s">
        <v>19</v>
      </c>
      <c r="I62" t="s">
        <v>20</v>
      </c>
      <c r="J62" t="s">
        <v>21</v>
      </c>
      <c r="M62" t="s">
        <v>36</v>
      </c>
      <c r="N62" t="s">
        <v>43</v>
      </c>
      <c r="O62" t="s">
        <v>48</v>
      </c>
      <c r="P62">
        <v>0</v>
      </c>
    </row>
    <row r="63" spans="1:16" x14ac:dyDescent="0.25">
      <c r="A63" t="s">
        <v>289</v>
      </c>
      <c r="B63" t="str">
        <f t="shared" si="0"/>
        <v>2014</v>
      </c>
      <c r="C63" t="s">
        <v>293</v>
      </c>
      <c r="D63" t="s">
        <v>294</v>
      </c>
      <c r="E63" t="s">
        <v>295</v>
      </c>
      <c r="G63" t="s">
        <v>18</v>
      </c>
      <c r="H63" t="s">
        <v>19</v>
      </c>
      <c r="I63" t="s">
        <v>20</v>
      </c>
      <c r="J63" t="s">
        <v>21</v>
      </c>
      <c r="M63" t="s">
        <v>36</v>
      </c>
      <c r="N63" t="s">
        <v>43</v>
      </c>
      <c r="O63" t="s">
        <v>288</v>
      </c>
      <c r="P63">
        <v>0</v>
      </c>
    </row>
    <row r="64" spans="1:16" x14ac:dyDescent="0.25">
      <c r="A64" t="s">
        <v>289</v>
      </c>
      <c r="B64" t="str">
        <f t="shared" si="0"/>
        <v>2014</v>
      </c>
      <c r="C64" t="s">
        <v>296</v>
      </c>
      <c r="D64" t="s">
        <v>297</v>
      </c>
      <c r="E64" t="s">
        <v>298</v>
      </c>
      <c r="G64" t="s">
        <v>18</v>
      </c>
      <c r="H64" t="s">
        <v>19</v>
      </c>
      <c r="I64" t="s">
        <v>20</v>
      </c>
      <c r="J64" t="s">
        <v>21</v>
      </c>
      <c r="M64" t="s">
        <v>36</v>
      </c>
      <c r="N64" t="s">
        <v>43</v>
      </c>
      <c r="O64" t="s">
        <v>299</v>
      </c>
      <c r="P64">
        <v>0</v>
      </c>
    </row>
    <row r="65" spans="1:16" x14ac:dyDescent="0.25">
      <c r="A65" t="s">
        <v>300</v>
      </c>
      <c r="B65" t="str">
        <f t="shared" si="0"/>
        <v>2014</v>
      </c>
      <c r="C65" t="s">
        <v>301</v>
      </c>
      <c r="D65" t="s">
        <v>302</v>
      </c>
      <c r="E65" t="s">
        <v>303</v>
      </c>
      <c r="G65" t="s">
        <v>18</v>
      </c>
      <c r="H65" t="s">
        <v>19</v>
      </c>
      <c r="I65" t="s">
        <v>20</v>
      </c>
      <c r="J65" t="s">
        <v>304</v>
      </c>
      <c r="M65" t="s">
        <v>198</v>
      </c>
      <c r="N65" t="s">
        <v>305</v>
      </c>
      <c r="O65" t="s">
        <v>306</v>
      </c>
      <c r="P65">
        <v>0</v>
      </c>
    </row>
    <row r="66" spans="1:16" x14ac:dyDescent="0.25">
      <c r="A66" t="s">
        <v>307</v>
      </c>
      <c r="B66" t="str">
        <f t="shared" ref="B66:B121" si="3">RIGHT(A66,4)</f>
        <v>2014</v>
      </c>
      <c r="C66" t="s">
        <v>308</v>
      </c>
      <c r="D66" t="s">
        <v>309</v>
      </c>
      <c r="E66" t="s">
        <v>310</v>
      </c>
      <c r="G66" t="s">
        <v>18</v>
      </c>
      <c r="H66" t="s">
        <v>19</v>
      </c>
      <c r="I66" t="s">
        <v>20</v>
      </c>
      <c r="J66" t="s">
        <v>21</v>
      </c>
      <c r="M66" t="s">
        <v>36</v>
      </c>
      <c r="N66" t="s">
        <v>43</v>
      </c>
      <c r="O66" t="s">
        <v>48</v>
      </c>
      <c r="P66">
        <v>0</v>
      </c>
    </row>
    <row r="67" spans="1:16" x14ac:dyDescent="0.25">
      <c r="A67" t="s">
        <v>307</v>
      </c>
      <c r="B67" t="str">
        <f t="shared" si="3"/>
        <v>2014</v>
      </c>
      <c r="C67" t="s">
        <v>311</v>
      </c>
      <c r="D67" t="s">
        <v>312</v>
      </c>
      <c r="E67" t="s">
        <v>313</v>
      </c>
      <c r="G67" t="s">
        <v>18</v>
      </c>
      <c r="H67" t="s">
        <v>19</v>
      </c>
      <c r="I67" t="s">
        <v>20</v>
      </c>
      <c r="J67" t="s">
        <v>21</v>
      </c>
      <c r="M67" t="s">
        <v>36</v>
      </c>
      <c r="N67" t="s">
        <v>314</v>
      </c>
      <c r="O67" t="s">
        <v>224</v>
      </c>
      <c r="P67">
        <v>0</v>
      </c>
    </row>
    <row r="68" spans="1:16" x14ac:dyDescent="0.25">
      <c r="A68" t="s">
        <v>307</v>
      </c>
      <c r="B68" t="str">
        <f t="shared" si="3"/>
        <v>2014</v>
      </c>
      <c r="C68" t="s">
        <v>315</v>
      </c>
      <c r="D68" t="s">
        <v>316</v>
      </c>
      <c r="E68" t="s">
        <v>317</v>
      </c>
      <c r="G68" t="s">
        <v>18</v>
      </c>
      <c r="H68" t="s">
        <v>19</v>
      </c>
      <c r="I68" t="s">
        <v>20</v>
      </c>
      <c r="J68" t="s">
        <v>21</v>
      </c>
      <c r="M68" t="s">
        <v>36</v>
      </c>
      <c r="N68" t="s">
        <v>43</v>
      </c>
      <c r="O68" t="s">
        <v>90</v>
      </c>
      <c r="P68">
        <v>0</v>
      </c>
    </row>
    <row r="69" spans="1:16" x14ac:dyDescent="0.25">
      <c r="A69" t="s">
        <v>307</v>
      </c>
      <c r="B69" t="str">
        <f t="shared" si="3"/>
        <v>2014</v>
      </c>
      <c r="C69" t="s">
        <v>318</v>
      </c>
      <c r="D69" t="s">
        <v>319</v>
      </c>
      <c r="E69" t="s">
        <v>320</v>
      </c>
      <c r="G69" t="s">
        <v>18</v>
      </c>
      <c r="H69" t="s">
        <v>19</v>
      </c>
      <c r="I69" t="s">
        <v>20</v>
      </c>
      <c r="J69" t="s">
        <v>21</v>
      </c>
      <c r="M69" t="s">
        <v>36</v>
      </c>
      <c r="N69" t="s">
        <v>43</v>
      </c>
      <c r="O69" t="s">
        <v>143</v>
      </c>
      <c r="P69">
        <v>0</v>
      </c>
    </row>
    <row r="70" spans="1:16" x14ac:dyDescent="0.25">
      <c r="A70" t="s">
        <v>321</v>
      </c>
      <c r="B70" t="str">
        <f t="shared" si="3"/>
        <v>2014</v>
      </c>
      <c r="C70" t="s">
        <v>322</v>
      </c>
      <c r="D70" t="s">
        <v>323</v>
      </c>
      <c r="E70" t="s">
        <v>324</v>
      </c>
      <c r="G70" t="s">
        <v>18</v>
      </c>
      <c r="H70" t="s">
        <v>19</v>
      </c>
      <c r="I70" t="s">
        <v>20</v>
      </c>
      <c r="J70" t="s">
        <v>21</v>
      </c>
      <c r="M70" t="s">
        <v>36</v>
      </c>
      <c r="N70" t="s">
        <v>43</v>
      </c>
      <c r="O70" t="s">
        <v>325</v>
      </c>
      <c r="P70">
        <v>0</v>
      </c>
    </row>
    <row r="71" spans="1:16" x14ac:dyDescent="0.25">
      <c r="A71" t="s">
        <v>326</v>
      </c>
      <c r="B71" t="str">
        <f t="shared" si="3"/>
        <v>2014</v>
      </c>
      <c r="C71" t="s">
        <v>327</v>
      </c>
      <c r="D71" t="s">
        <v>328</v>
      </c>
      <c r="E71" t="s">
        <v>329</v>
      </c>
      <c r="G71" t="s">
        <v>18</v>
      </c>
      <c r="H71" t="s">
        <v>19</v>
      </c>
      <c r="I71" t="s">
        <v>20</v>
      </c>
      <c r="J71" t="s">
        <v>304</v>
      </c>
      <c r="M71" t="s">
        <v>29</v>
      </c>
      <c r="N71" t="s">
        <v>330</v>
      </c>
      <c r="O71" t="s">
        <v>331</v>
      </c>
      <c r="P71">
        <v>0</v>
      </c>
    </row>
    <row r="72" spans="1:16" x14ac:dyDescent="0.25">
      <c r="A72" t="s">
        <v>332</v>
      </c>
      <c r="B72" t="str">
        <f t="shared" si="3"/>
        <v>2015</v>
      </c>
      <c r="C72" t="s">
        <v>333</v>
      </c>
      <c r="D72" t="s">
        <v>334</v>
      </c>
      <c r="E72" t="s">
        <v>335</v>
      </c>
      <c r="G72" t="s">
        <v>18</v>
      </c>
      <c r="H72" t="s">
        <v>19</v>
      </c>
      <c r="I72" t="s">
        <v>20</v>
      </c>
      <c r="J72" t="s">
        <v>21</v>
      </c>
      <c r="M72" t="s">
        <v>36</v>
      </c>
      <c r="N72" t="s">
        <v>43</v>
      </c>
      <c r="O72" t="s">
        <v>48</v>
      </c>
      <c r="P72">
        <v>0</v>
      </c>
    </row>
    <row r="73" spans="1:16" x14ac:dyDescent="0.25">
      <c r="A73" t="s">
        <v>336</v>
      </c>
      <c r="B73" t="str">
        <f t="shared" si="3"/>
        <v>2015</v>
      </c>
      <c r="C73" t="s">
        <v>337</v>
      </c>
      <c r="D73" t="s">
        <v>338</v>
      </c>
      <c r="E73" t="s">
        <v>339</v>
      </c>
      <c r="G73" t="s">
        <v>18</v>
      </c>
      <c r="H73" t="s">
        <v>19</v>
      </c>
      <c r="I73" t="s">
        <v>20</v>
      </c>
      <c r="J73" t="s">
        <v>21</v>
      </c>
      <c r="M73" t="s">
        <v>36</v>
      </c>
      <c r="N73" t="s">
        <v>43</v>
      </c>
      <c r="O73" t="s">
        <v>340</v>
      </c>
      <c r="P73">
        <v>0</v>
      </c>
    </row>
    <row r="74" spans="1:16" x14ac:dyDescent="0.25">
      <c r="A74" t="s">
        <v>336</v>
      </c>
      <c r="B74" t="str">
        <f t="shared" si="3"/>
        <v>2015</v>
      </c>
      <c r="C74" t="s">
        <v>341</v>
      </c>
      <c r="D74" t="s">
        <v>342</v>
      </c>
      <c r="E74" t="s">
        <v>343</v>
      </c>
      <c r="G74" t="s">
        <v>18</v>
      </c>
      <c r="H74" t="s">
        <v>19</v>
      </c>
      <c r="I74" t="s">
        <v>20</v>
      </c>
      <c r="J74" t="s">
        <v>21</v>
      </c>
      <c r="M74" t="s">
        <v>36</v>
      </c>
      <c r="N74" t="s">
        <v>43</v>
      </c>
      <c r="O74" t="s">
        <v>344</v>
      </c>
      <c r="P74">
        <v>0</v>
      </c>
    </row>
    <row r="75" spans="1:16" x14ac:dyDescent="0.25">
      <c r="A75" t="s">
        <v>345</v>
      </c>
      <c r="B75" t="str">
        <f t="shared" si="3"/>
        <v>2015</v>
      </c>
      <c r="C75" t="s">
        <v>346</v>
      </c>
      <c r="D75" t="s">
        <v>347</v>
      </c>
      <c r="E75" t="s">
        <v>348</v>
      </c>
      <c r="G75" t="s">
        <v>18</v>
      </c>
      <c r="H75" t="s">
        <v>19</v>
      </c>
      <c r="I75" t="s">
        <v>20</v>
      </c>
      <c r="J75" t="s">
        <v>21</v>
      </c>
      <c r="M75" t="s">
        <v>36</v>
      </c>
      <c r="N75" t="s">
        <v>43</v>
      </c>
      <c r="O75" t="s">
        <v>349</v>
      </c>
      <c r="P75">
        <v>0</v>
      </c>
    </row>
    <row r="76" spans="1:16" x14ac:dyDescent="0.25">
      <c r="A76" t="s">
        <v>350</v>
      </c>
      <c r="B76" t="str">
        <f t="shared" si="3"/>
        <v>2015</v>
      </c>
      <c r="C76" t="s">
        <v>351</v>
      </c>
      <c r="D76" t="s">
        <v>352</v>
      </c>
      <c r="E76" t="s">
        <v>353</v>
      </c>
      <c r="G76" t="s">
        <v>18</v>
      </c>
      <c r="H76" t="s">
        <v>19</v>
      </c>
      <c r="I76" t="s">
        <v>20</v>
      </c>
      <c r="J76" t="s">
        <v>21</v>
      </c>
      <c r="M76" t="s">
        <v>36</v>
      </c>
      <c r="N76" t="s">
        <v>43</v>
      </c>
      <c r="O76" t="s">
        <v>354</v>
      </c>
      <c r="P76">
        <v>0</v>
      </c>
    </row>
    <row r="77" spans="1:16" x14ac:dyDescent="0.25">
      <c r="A77" t="s">
        <v>350</v>
      </c>
      <c r="B77" t="str">
        <f t="shared" si="3"/>
        <v>2015</v>
      </c>
      <c r="C77" t="s">
        <v>355</v>
      </c>
      <c r="D77" t="s">
        <v>356</v>
      </c>
      <c r="E77" t="s">
        <v>357</v>
      </c>
      <c r="G77" t="s">
        <v>18</v>
      </c>
      <c r="H77" t="s">
        <v>19</v>
      </c>
      <c r="I77" t="s">
        <v>20</v>
      </c>
      <c r="J77" t="s">
        <v>21</v>
      </c>
      <c r="M77" t="s">
        <v>36</v>
      </c>
      <c r="N77" t="s">
        <v>43</v>
      </c>
      <c r="O77" t="s">
        <v>143</v>
      </c>
      <c r="P77">
        <v>0</v>
      </c>
    </row>
    <row r="78" spans="1:16" x14ac:dyDescent="0.25">
      <c r="A78" t="s">
        <v>350</v>
      </c>
      <c r="B78" t="str">
        <f t="shared" si="3"/>
        <v>2015</v>
      </c>
      <c r="C78" t="s">
        <v>358</v>
      </c>
      <c r="D78" t="s">
        <v>359</v>
      </c>
      <c r="E78" t="s">
        <v>360</v>
      </c>
      <c r="G78" t="s">
        <v>18</v>
      </c>
      <c r="H78" t="s">
        <v>19</v>
      </c>
      <c r="I78" t="s">
        <v>20</v>
      </c>
      <c r="J78" t="s">
        <v>21</v>
      </c>
      <c r="M78" t="s">
        <v>36</v>
      </c>
      <c r="N78" t="s">
        <v>43</v>
      </c>
      <c r="O78" t="s">
        <v>354</v>
      </c>
      <c r="P78">
        <v>0</v>
      </c>
    </row>
    <row r="79" spans="1:16" x14ac:dyDescent="0.25">
      <c r="A79" t="s">
        <v>361</v>
      </c>
      <c r="B79" t="str">
        <f t="shared" si="3"/>
        <v>2015</v>
      </c>
      <c r="C79" t="s">
        <v>362</v>
      </c>
      <c r="D79" t="s">
        <v>363</v>
      </c>
      <c r="E79" t="s">
        <v>364</v>
      </c>
      <c r="G79" t="s">
        <v>18</v>
      </c>
      <c r="H79" t="s">
        <v>19</v>
      </c>
      <c r="I79" t="s">
        <v>20</v>
      </c>
      <c r="J79" t="s">
        <v>21</v>
      </c>
      <c r="M79" t="s">
        <v>36</v>
      </c>
      <c r="N79" t="s">
        <v>43</v>
      </c>
      <c r="O79" t="s">
        <v>365</v>
      </c>
      <c r="P79">
        <v>0</v>
      </c>
    </row>
    <row r="80" spans="1:16" x14ac:dyDescent="0.25">
      <c r="A80" t="s">
        <v>366</v>
      </c>
      <c r="B80" t="str">
        <f t="shared" si="3"/>
        <v>2015</v>
      </c>
      <c r="C80" t="s">
        <v>367</v>
      </c>
      <c r="D80" t="s">
        <v>368</v>
      </c>
      <c r="E80" t="s">
        <v>369</v>
      </c>
      <c r="G80" t="s">
        <v>18</v>
      </c>
      <c r="H80" t="s">
        <v>19</v>
      </c>
      <c r="I80" t="s">
        <v>20</v>
      </c>
      <c r="J80" t="s">
        <v>304</v>
      </c>
      <c r="M80" t="s">
        <v>370</v>
      </c>
      <c r="N80" t="s">
        <v>371</v>
      </c>
      <c r="O80" t="s">
        <v>372</v>
      </c>
      <c r="P80">
        <v>0</v>
      </c>
    </row>
    <row r="81" spans="1:16" x14ac:dyDescent="0.25">
      <c r="A81" t="s">
        <v>373</v>
      </c>
      <c r="B81" t="str">
        <f t="shared" si="3"/>
        <v>2015</v>
      </c>
      <c r="C81" t="s">
        <v>374</v>
      </c>
      <c r="D81" t="s">
        <v>375</v>
      </c>
      <c r="E81" t="s">
        <v>376</v>
      </c>
      <c r="G81" t="s">
        <v>18</v>
      </c>
      <c r="H81" t="s">
        <v>19</v>
      </c>
      <c r="I81" t="s">
        <v>20</v>
      </c>
      <c r="J81" t="s">
        <v>21</v>
      </c>
      <c r="M81" t="s">
        <v>36</v>
      </c>
      <c r="N81" t="s">
        <v>43</v>
      </c>
      <c r="O81" t="s">
        <v>48</v>
      </c>
      <c r="P81">
        <v>0</v>
      </c>
    </row>
    <row r="82" spans="1:16" x14ac:dyDescent="0.25">
      <c r="A82" t="s">
        <v>377</v>
      </c>
      <c r="B82" t="str">
        <f t="shared" si="3"/>
        <v>2015</v>
      </c>
      <c r="C82" t="s">
        <v>378</v>
      </c>
      <c r="D82" t="s">
        <v>379</v>
      </c>
      <c r="E82" t="s">
        <v>380</v>
      </c>
      <c r="G82" t="s">
        <v>18</v>
      </c>
      <c r="H82" t="s">
        <v>19</v>
      </c>
      <c r="I82" t="s">
        <v>20</v>
      </c>
      <c r="J82" t="s">
        <v>21</v>
      </c>
      <c r="M82" t="s">
        <v>36</v>
      </c>
      <c r="N82" t="s">
        <v>43</v>
      </c>
      <c r="O82" t="s">
        <v>48</v>
      </c>
      <c r="P82">
        <v>0</v>
      </c>
    </row>
    <row r="83" spans="1:16" x14ac:dyDescent="0.25">
      <c r="A83" t="s">
        <v>377</v>
      </c>
      <c r="B83" t="str">
        <f t="shared" si="3"/>
        <v>2015</v>
      </c>
      <c r="C83" t="s">
        <v>381</v>
      </c>
      <c r="D83" t="s">
        <v>382</v>
      </c>
      <c r="E83" t="s">
        <v>383</v>
      </c>
      <c r="G83" t="s">
        <v>18</v>
      </c>
      <c r="H83" t="s">
        <v>19</v>
      </c>
      <c r="I83" t="s">
        <v>20</v>
      </c>
      <c r="J83" t="s">
        <v>21</v>
      </c>
      <c r="M83" t="s">
        <v>36</v>
      </c>
      <c r="N83" t="s">
        <v>43</v>
      </c>
      <c r="O83" t="s">
        <v>143</v>
      </c>
      <c r="P83">
        <v>0</v>
      </c>
    </row>
    <row r="84" spans="1:16" x14ac:dyDescent="0.25">
      <c r="A84" t="s">
        <v>384</v>
      </c>
      <c r="B84" t="str">
        <f t="shared" si="3"/>
        <v>2015</v>
      </c>
      <c r="C84" t="s">
        <v>385</v>
      </c>
      <c r="D84" t="s">
        <v>386</v>
      </c>
      <c r="E84" t="s">
        <v>387</v>
      </c>
      <c r="G84" t="s">
        <v>18</v>
      </c>
      <c r="H84" t="s">
        <v>19</v>
      </c>
      <c r="I84" t="s">
        <v>20</v>
      </c>
      <c r="J84" t="s">
        <v>304</v>
      </c>
      <c r="M84" t="s">
        <v>29</v>
      </c>
      <c r="N84" t="s">
        <v>388</v>
      </c>
      <c r="O84" t="s">
        <v>372</v>
      </c>
      <c r="P84">
        <v>0</v>
      </c>
    </row>
    <row r="85" spans="1:16" x14ac:dyDescent="0.25">
      <c r="A85" t="s">
        <v>389</v>
      </c>
      <c r="B85" t="str">
        <f t="shared" si="3"/>
        <v>2015</v>
      </c>
      <c r="C85" t="s">
        <v>390</v>
      </c>
      <c r="D85" t="s">
        <v>391</v>
      </c>
      <c r="E85" t="s">
        <v>392</v>
      </c>
      <c r="G85" t="s">
        <v>18</v>
      </c>
      <c r="H85" t="s">
        <v>19</v>
      </c>
      <c r="I85" t="s">
        <v>20</v>
      </c>
      <c r="J85" t="s">
        <v>304</v>
      </c>
      <c r="M85" t="s">
        <v>393</v>
      </c>
      <c r="N85" t="s">
        <v>394</v>
      </c>
      <c r="O85" t="s">
        <v>395</v>
      </c>
      <c r="P85">
        <v>0</v>
      </c>
    </row>
    <row r="86" spans="1:16" x14ac:dyDescent="0.25">
      <c r="A86" t="s">
        <v>396</v>
      </c>
      <c r="B86" t="str">
        <f t="shared" si="3"/>
        <v>2015</v>
      </c>
      <c r="C86" t="s">
        <v>397</v>
      </c>
      <c r="D86" t="s">
        <v>398</v>
      </c>
      <c r="E86" t="s">
        <v>399</v>
      </c>
      <c r="G86" t="s">
        <v>18</v>
      </c>
      <c r="H86" t="s">
        <v>19</v>
      </c>
      <c r="I86" t="s">
        <v>20</v>
      </c>
      <c r="J86" t="s">
        <v>304</v>
      </c>
      <c r="M86" t="s">
        <v>29</v>
      </c>
      <c r="N86" t="s">
        <v>388</v>
      </c>
      <c r="O86" t="s">
        <v>372</v>
      </c>
      <c r="P86">
        <v>0</v>
      </c>
    </row>
    <row r="87" spans="1:16" x14ac:dyDescent="0.25">
      <c r="A87" t="s">
        <v>400</v>
      </c>
      <c r="B87" t="str">
        <f t="shared" si="3"/>
        <v>2015</v>
      </c>
      <c r="C87" t="s">
        <v>401</v>
      </c>
      <c r="D87" t="s">
        <v>402</v>
      </c>
      <c r="E87" t="s">
        <v>403</v>
      </c>
      <c r="G87" t="s">
        <v>18</v>
      </c>
      <c r="H87" t="s">
        <v>19</v>
      </c>
      <c r="I87" t="s">
        <v>20</v>
      </c>
      <c r="J87" t="s">
        <v>21</v>
      </c>
      <c r="M87" t="s">
        <v>36</v>
      </c>
      <c r="N87" t="s">
        <v>404</v>
      </c>
      <c r="O87" t="s">
        <v>405</v>
      </c>
      <c r="P87">
        <v>0</v>
      </c>
    </row>
    <row r="88" spans="1:16" x14ac:dyDescent="0.25">
      <c r="A88" t="s">
        <v>406</v>
      </c>
      <c r="B88" t="str">
        <f t="shared" si="3"/>
        <v>2015</v>
      </c>
      <c r="C88" t="s">
        <v>407</v>
      </c>
      <c r="D88" t="s">
        <v>408</v>
      </c>
      <c r="E88" t="s">
        <v>409</v>
      </c>
      <c r="G88" t="s">
        <v>18</v>
      </c>
      <c r="H88" t="s">
        <v>19</v>
      </c>
      <c r="I88" t="s">
        <v>20</v>
      </c>
      <c r="J88" t="s">
        <v>304</v>
      </c>
      <c r="M88" t="s">
        <v>198</v>
      </c>
      <c r="N88" t="s">
        <v>410</v>
      </c>
      <c r="O88" t="s">
        <v>372</v>
      </c>
      <c r="P88">
        <v>0</v>
      </c>
    </row>
    <row r="89" spans="1:16" x14ac:dyDescent="0.25">
      <c r="A89" t="s">
        <v>411</v>
      </c>
      <c r="B89" t="str">
        <f t="shared" si="3"/>
        <v>2015</v>
      </c>
      <c r="C89" t="s">
        <v>412</v>
      </c>
      <c r="D89" t="s">
        <v>413</v>
      </c>
      <c r="E89" t="s">
        <v>414</v>
      </c>
      <c r="G89" t="s">
        <v>18</v>
      </c>
      <c r="H89" t="s">
        <v>19</v>
      </c>
      <c r="I89" t="s">
        <v>20</v>
      </c>
      <c r="J89" t="s">
        <v>304</v>
      </c>
      <c r="M89" t="s">
        <v>415</v>
      </c>
      <c r="N89" t="s">
        <v>416</v>
      </c>
      <c r="O89" t="s">
        <v>417</v>
      </c>
      <c r="P89">
        <v>0</v>
      </c>
    </row>
    <row r="90" spans="1:16" x14ac:dyDescent="0.25">
      <c r="A90" t="s">
        <v>418</v>
      </c>
      <c r="B90" t="str">
        <f t="shared" si="3"/>
        <v>2015</v>
      </c>
      <c r="C90" t="s">
        <v>419</v>
      </c>
      <c r="D90" t="s">
        <v>420</v>
      </c>
      <c r="E90" t="s">
        <v>421</v>
      </c>
      <c r="G90" t="s">
        <v>18</v>
      </c>
      <c r="H90" t="s">
        <v>19</v>
      </c>
      <c r="I90" t="s">
        <v>20</v>
      </c>
      <c r="J90" t="s">
        <v>304</v>
      </c>
      <c r="M90" t="s">
        <v>393</v>
      </c>
      <c r="N90" t="s">
        <v>394</v>
      </c>
      <c r="O90" t="s">
        <v>372</v>
      </c>
      <c r="P90">
        <v>0</v>
      </c>
    </row>
    <row r="91" spans="1:16" x14ac:dyDescent="0.25">
      <c r="A91" t="s">
        <v>422</v>
      </c>
      <c r="B91" t="str">
        <f t="shared" si="3"/>
        <v>2015</v>
      </c>
      <c r="C91" t="s">
        <v>423</v>
      </c>
      <c r="D91" t="s">
        <v>424</v>
      </c>
      <c r="E91" t="s">
        <v>425</v>
      </c>
      <c r="G91" t="s">
        <v>18</v>
      </c>
      <c r="H91" t="s">
        <v>19</v>
      </c>
      <c r="I91" t="s">
        <v>20</v>
      </c>
      <c r="J91" t="s">
        <v>304</v>
      </c>
      <c r="M91" t="s">
        <v>370</v>
      </c>
      <c r="N91" t="s">
        <v>426</v>
      </c>
      <c r="O91" t="s">
        <v>427</v>
      </c>
      <c r="P91">
        <v>0</v>
      </c>
    </row>
    <row r="92" spans="1:16" x14ac:dyDescent="0.25">
      <c r="A92" t="s">
        <v>428</v>
      </c>
      <c r="B92" t="str">
        <f t="shared" si="3"/>
        <v>2015</v>
      </c>
      <c r="C92" t="s">
        <v>429</v>
      </c>
      <c r="D92" t="s">
        <v>430</v>
      </c>
      <c r="E92" t="s">
        <v>431</v>
      </c>
      <c r="G92" t="s">
        <v>18</v>
      </c>
      <c r="H92" t="s">
        <v>19</v>
      </c>
      <c r="I92" t="s">
        <v>20</v>
      </c>
      <c r="J92" t="s">
        <v>21</v>
      </c>
      <c r="M92" t="s">
        <v>36</v>
      </c>
      <c r="N92" t="s">
        <v>43</v>
      </c>
      <c r="O92" t="s">
        <v>432</v>
      </c>
      <c r="P92">
        <v>0</v>
      </c>
    </row>
    <row r="93" spans="1:16" x14ac:dyDescent="0.25">
      <c r="A93" t="s">
        <v>433</v>
      </c>
      <c r="B93" t="str">
        <f t="shared" si="3"/>
        <v>2015</v>
      </c>
      <c r="C93" t="s">
        <v>434</v>
      </c>
      <c r="D93" t="s">
        <v>435</v>
      </c>
      <c r="E93" t="s">
        <v>436</v>
      </c>
      <c r="G93" t="s">
        <v>18</v>
      </c>
      <c r="H93" t="s">
        <v>19</v>
      </c>
      <c r="I93" t="s">
        <v>20</v>
      </c>
      <c r="J93" t="s">
        <v>21</v>
      </c>
      <c r="M93" t="s">
        <v>36</v>
      </c>
      <c r="N93" t="s">
        <v>437</v>
      </c>
      <c r="O93" t="s">
        <v>438</v>
      </c>
      <c r="P93">
        <v>0</v>
      </c>
    </row>
    <row r="94" spans="1:16" x14ac:dyDescent="0.25">
      <c r="A94" t="s">
        <v>439</v>
      </c>
      <c r="B94" t="str">
        <f t="shared" si="3"/>
        <v>2015</v>
      </c>
      <c r="C94" t="s">
        <v>440</v>
      </c>
      <c r="D94" t="s">
        <v>441</v>
      </c>
      <c r="E94" t="s">
        <v>442</v>
      </c>
      <c r="G94" t="s">
        <v>18</v>
      </c>
      <c r="H94" t="s">
        <v>19</v>
      </c>
      <c r="I94" t="s">
        <v>20</v>
      </c>
      <c r="J94" t="s">
        <v>21</v>
      </c>
      <c r="M94" t="s">
        <v>36</v>
      </c>
      <c r="N94" t="s">
        <v>43</v>
      </c>
      <c r="O94" t="s">
        <v>48</v>
      </c>
      <c r="P94">
        <v>0</v>
      </c>
    </row>
    <row r="95" spans="1:16" x14ac:dyDescent="0.25">
      <c r="A95" t="s">
        <v>443</v>
      </c>
      <c r="B95" t="str">
        <f t="shared" si="3"/>
        <v>2015</v>
      </c>
      <c r="C95" t="s">
        <v>444</v>
      </c>
      <c r="D95" t="s">
        <v>445</v>
      </c>
      <c r="E95" t="s">
        <v>446</v>
      </c>
      <c r="G95" t="s">
        <v>18</v>
      </c>
      <c r="H95" t="s">
        <v>19</v>
      </c>
      <c r="I95" t="s">
        <v>20</v>
      </c>
      <c r="J95" t="s">
        <v>304</v>
      </c>
      <c r="M95" t="s">
        <v>447</v>
      </c>
      <c r="N95" t="s">
        <v>448</v>
      </c>
      <c r="O95" t="s">
        <v>449</v>
      </c>
      <c r="P95">
        <v>0</v>
      </c>
    </row>
    <row r="96" spans="1:16" x14ac:dyDescent="0.25">
      <c r="A96" t="s">
        <v>450</v>
      </c>
      <c r="B96" t="str">
        <f t="shared" si="3"/>
        <v>2016</v>
      </c>
      <c r="C96" t="s">
        <v>451</v>
      </c>
      <c r="D96" t="s">
        <v>452</v>
      </c>
      <c r="E96" t="s">
        <v>453</v>
      </c>
      <c r="G96" t="s">
        <v>18</v>
      </c>
      <c r="H96" t="s">
        <v>19</v>
      </c>
      <c r="I96" t="s">
        <v>20</v>
      </c>
      <c r="J96" t="s">
        <v>21</v>
      </c>
      <c r="M96" t="s">
        <v>36</v>
      </c>
      <c r="N96" t="s">
        <v>43</v>
      </c>
      <c r="O96" t="s">
        <v>454</v>
      </c>
      <c r="P96">
        <v>0</v>
      </c>
    </row>
    <row r="97" spans="1:16" x14ac:dyDescent="0.25">
      <c r="A97" t="s">
        <v>455</v>
      </c>
      <c r="B97" t="str">
        <f t="shared" si="3"/>
        <v>2016</v>
      </c>
      <c r="C97" t="s">
        <v>456</v>
      </c>
      <c r="D97" t="s">
        <v>457</v>
      </c>
      <c r="E97" t="s">
        <v>458</v>
      </c>
      <c r="G97" t="s">
        <v>18</v>
      </c>
      <c r="H97" t="s">
        <v>19</v>
      </c>
      <c r="I97" t="s">
        <v>20</v>
      </c>
      <c r="J97" t="s">
        <v>21</v>
      </c>
      <c r="M97" t="s">
        <v>36</v>
      </c>
      <c r="N97" t="s">
        <v>43</v>
      </c>
      <c r="O97" t="s">
        <v>459</v>
      </c>
      <c r="P97">
        <v>0</v>
      </c>
    </row>
    <row r="98" spans="1:16" x14ac:dyDescent="0.25">
      <c r="A98" t="s">
        <v>455</v>
      </c>
      <c r="B98" t="str">
        <f t="shared" si="3"/>
        <v>2016</v>
      </c>
      <c r="C98" t="s">
        <v>460</v>
      </c>
      <c r="D98" t="s">
        <v>461</v>
      </c>
      <c r="E98" t="s">
        <v>462</v>
      </c>
      <c r="G98" t="s">
        <v>18</v>
      </c>
      <c r="H98" t="s">
        <v>19</v>
      </c>
      <c r="I98" t="s">
        <v>20</v>
      </c>
      <c r="J98" t="s">
        <v>21</v>
      </c>
      <c r="M98" t="s">
        <v>36</v>
      </c>
      <c r="N98" t="s">
        <v>43</v>
      </c>
      <c r="O98" t="s">
        <v>113</v>
      </c>
      <c r="P98">
        <v>0</v>
      </c>
    </row>
    <row r="99" spans="1:16" x14ac:dyDescent="0.25">
      <c r="A99" t="s">
        <v>455</v>
      </c>
      <c r="B99" t="str">
        <f t="shared" si="3"/>
        <v>2016</v>
      </c>
      <c r="C99" t="s">
        <v>463</v>
      </c>
      <c r="D99" t="s">
        <v>464</v>
      </c>
      <c r="E99" t="s">
        <v>465</v>
      </c>
      <c r="G99" t="s">
        <v>18</v>
      </c>
      <c r="H99" t="s">
        <v>19</v>
      </c>
      <c r="I99" t="s">
        <v>20</v>
      </c>
      <c r="J99" t="s">
        <v>21</v>
      </c>
      <c r="M99" t="s">
        <v>36</v>
      </c>
      <c r="N99" t="s">
        <v>43</v>
      </c>
      <c r="O99" t="s">
        <v>152</v>
      </c>
      <c r="P99">
        <v>0</v>
      </c>
    </row>
    <row r="100" spans="1:16" x14ac:dyDescent="0.25">
      <c r="A100" t="s">
        <v>466</v>
      </c>
      <c r="B100" t="str">
        <f t="shared" si="3"/>
        <v>2016</v>
      </c>
      <c r="C100" t="s">
        <v>467</v>
      </c>
      <c r="D100" t="s">
        <v>468</v>
      </c>
      <c r="E100" t="s">
        <v>469</v>
      </c>
      <c r="G100" t="s">
        <v>18</v>
      </c>
      <c r="H100" t="s">
        <v>19</v>
      </c>
      <c r="I100" t="s">
        <v>20</v>
      </c>
      <c r="J100" t="s">
        <v>21</v>
      </c>
      <c r="M100" t="s">
        <v>36</v>
      </c>
      <c r="N100" t="s">
        <v>43</v>
      </c>
      <c r="O100" t="s">
        <v>470</v>
      </c>
      <c r="P100">
        <v>0</v>
      </c>
    </row>
    <row r="101" spans="1:16" x14ac:dyDescent="0.25">
      <c r="A101" t="s">
        <v>471</v>
      </c>
      <c r="B101" t="str">
        <f t="shared" si="3"/>
        <v>2016</v>
      </c>
      <c r="C101" t="s">
        <v>472</v>
      </c>
      <c r="D101" t="s">
        <v>473</v>
      </c>
      <c r="E101" t="s">
        <v>474</v>
      </c>
      <c r="G101" t="s">
        <v>18</v>
      </c>
      <c r="H101" t="s">
        <v>19</v>
      </c>
      <c r="I101" t="s">
        <v>20</v>
      </c>
      <c r="J101" t="s">
        <v>21</v>
      </c>
      <c r="M101" t="s">
        <v>36</v>
      </c>
      <c r="N101" t="s">
        <v>43</v>
      </c>
      <c r="O101" t="s">
        <v>475</v>
      </c>
      <c r="P101">
        <v>0</v>
      </c>
    </row>
    <row r="102" spans="1:16" x14ac:dyDescent="0.25">
      <c r="A102" t="s">
        <v>476</v>
      </c>
      <c r="B102" t="str">
        <f t="shared" si="3"/>
        <v>2016</v>
      </c>
      <c r="C102" t="s">
        <v>477</v>
      </c>
      <c r="D102" t="s">
        <v>478</v>
      </c>
      <c r="E102" t="s">
        <v>479</v>
      </c>
      <c r="G102" t="s">
        <v>18</v>
      </c>
      <c r="H102" t="s">
        <v>19</v>
      </c>
      <c r="I102" t="s">
        <v>20</v>
      </c>
      <c r="J102" t="s">
        <v>304</v>
      </c>
      <c r="M102" t="s">
        <v>393</v>
      </c>
      <c r="N102" t="s">
        <v>394</v>
      </c>
      <c r="O102" t="s">
        <v>480</v>
      </c>
      <c r="P102">
        <v>0</v>
      </c>
    </row>
    <row r="103" spans="1:16" x14ac:dyDescent="0.25">
      <c r="A103" t="s">
        <v>481</v>
      </c>
      <c r="B103" t="str">
        <f t="shared" si="3"/>
        <v>2016</v>
      </c>
      <c r="C103" t="s">
        <v>482</v>
      </c>
      <c r="D103" t="s">
        <v>483</v>
      </c>
      <c r="E103" t="s">
        <v>484</v>
      </c>
      <c r="G103" t="s">
        <v>18</v>
      </c>
      <c r="H103" t="s">
        <v>19</v>
      </c>
      <c r="I103" t="s">
        <v>20</v>
      </c>
      <c r="J103" t="s">
        <v>21</v>
      </c>
      <c r="M103" t="s">
        <v>36</v>
      </c>
      <c r="N103" t="s">
        <v>43</v>
      </c>
      <c r="O103" t="s">
        <v>485</v>
      </c>
      <c r="P103">
        <v>0</v>
      </c>
    </row>
    <row r="104" spans="1:16" x14ac:dyDescent="0.25">
      <c r="A104" t="s">
        <v>481</v>
      </c>
      <c r="B104" t="str">
        <f t="shared" si="3"/>
        <v>2016</v>
      </c>
      <c r="C104" t="s">
        <v>486</v>
      </c>
      <c r="D104" t="s">
        <v>487</v>
      </c>
      <c r="E104" t="s">
        <v>488</v>
      </c>
      <c r="G104" t="s">
        <v>18</v>
      </c>
      <c r="H104" t="s">
        <v>19</v>
      </c>
      <c r="I104" t="s">
        <v>20</v>
      </c>
      <c r="J104" t="s">
        <v>21</v>
      </c>
      <c r="M104" t="s">
        <v>36</v>
      </c>
      <c r="N104" t="s">
        <v>43</v>
      </c>
      <c r="O104" t="s">
        <v>470</v>
      </c>
      <c r="P104">
        <v>0</v>
      </c>
    </row>
    <row r="105" spans="1:16" x14ac:dyDescent="0.25">
      <c r="A105" t="s">
        <v>489</v>
      </c>
      <c r="B105" t="str">
        <f t="shared" si="3"/>
        <v>2016</v>
      </c>
      <c r="C105" t="s">
        <v>490</v>
      </c>
      <c r="D105" t="s">
        <v>491</v>
      </c>
      <c r="E105" t="s">
        <v>492</v>
      </c>
      <c r="G105" t="s">
        <v>18</v>
      </c>
      <c r="H105" t="s">
        <v>19</v>
      </c>
      <c r="I105" t="s">
        <v>20</v>
      </c>
      <c r="J105" t="s">
        <v>21</v>
      </c>
      <c r="M105" t="s">
        <v>36</v>
      </c>
      <c r="N105" t="s">
        <v>43</v>
      </c>
      <c r="O105" t="s">
        <v>133</v>
      </c>
      <c r="P105">
        <v>0</v>
      </c>
    </row>
    <row r="106" spans="1:16" x14ac:dyDescent="0.25">
      <c r="A106" t="s">
        <v>489</v>
      </c>
      <c r="B106" t="str">
        <f t="shared" si="3"/>
        <v>2016</v>
      </c>
      <c r="C106" t="s">
        <v>493</v>
      </c>
      <c r="D106" t="s">
        <v>494</v>
      </c>
      <c r="E106" t="s">
        <v>495</v>
      </c>
      <c r="G106" t="s">
        <v>18</v>
      </c>
      <c r="H106" t="s">
        <v>19</v>
      </c>
      <c r="I106" t="s">
        <v>20</v>
      </c>
      <c r="J106" t="s">
        <v>21</v>
      </c>
      <c r="M106" t="s">
        <v>36</v>
      </c>
      <c r="N106" t="s">
        <v>43</v>
      </c>
      <c r="O106" t="s">
        <v>133</v>
      </c>
      <c r="P106">
        <v>0</v>
      </c>
    </row>
    <row r="107" spans="1:16" x14ac:dyDescent="0.25">
      <c r="A107" t="s">
        <v>496</v>
      </c>
      <c r="B107" t="str">
        <f t="shared" si="3"/>
        <v>2016</v>
      </c>
      <c r="C107" t="s">
        <v>497</v>
      </c>
      <c r="D107" t="s">
        <v>498</v>
      </c>
      <c r="E107" t="s">
        <v>499</v>
      </c>
      <c r="G107" t="s">
        <v>18</v>
      </c>
      <c r="H107" t="s">
        <v>19</v>
      </c>
      <c r="I107" t="s">
        <v>20</v>
      </c>
      <c r="J107" t="s">
        <v>304</v>
      </c>
      <c r="M107" t="s">
        <v>36</v>
      </c>
      <c r="N107" t="s">
        <v>500</v>
      </c>
      <c r="O107" t="s">
        <v>501</v>
      </c>
      <c r="P107">
        <v>0</v>
      </c>
    </row>
    <row r="108" spans="1:16" x14ac:dyDescent="0.25">
      <c r="A108" t="s">
        <v>502</v>
      </c>
      <c r="B108" t="str">
        <f t="shared" si="3"/>
        <v>2016</v>
      </c>
      <c r="C108" t="s">
        <v>503</v>
      </c>
      <c r="D108" t="s">
        <v>504</v>
      </c>
      <c r="E108" t="s">
        <v>505</v>
      </c>
      <c r="G108" t="s">
        <v>18</v>
      </c>
      <c r="H108" t="s">
        <v>19</v>
      </c>
      <c r="I108" t="s">
        <v>20</v>
      </c>
      <c r="J108" t="s">
        <v>304</v>
      </c>
      <c r="M108" t="s">
        <v>506</v>
      </c>
      <c r="N108" t="s">
        <v>507</v>
      </c>
      <c r="O108" t="s">
        <v>508</v>
      </c>
      <c r="P108">
        <v>0</v>
      </c>
    </row>
    <row r="109" spans="1:16" x14ac:dyDescent="0.25">
      <c r="A109" t="s">
        <v>509</v>
      </c>
      <c r="B109" t="str">
        <f t="shared" si="3"/>
        <v>2016</v>
      </c>
      <c r="C109" t="s">
        <v>510</v>
      </c>
      <c r="D109" t="s">
        <v>511</v>
      </c>
      <c r="E109" t="s">
        <v>512</v>
      </c>
      <c r="G109" t="s">
        <v>18</v>
      </c>
      <c r="H109" t="s">
        <v>19</v>
      </c>
      <c r="I109" t="s">
        <v>20</v>
      </c>
      <c r="J109" t="s">
        <v>304</v>
      </c>
      <c r="M109" t="s">
        <v>513</v>
      </c>
      <c r="N109" t="s">
        <v>514</v>
      </c>
      <c r="O109" t="s">
        <v>515</v>
      </c>
      <c r="P109">
        <v>0</v>
      </c>
    </row>
    <row r="110" spans="1:16" x14ac:dyDescent="0.25">
      <c r="A110" t="s">
        <v>516</v>
      </c>
      <c r="B110" t="str">
        <f t="shared" si="3"/>
        <v>2016</v>
      </c>
      <c r="C110" t="s">
        <v>517</v>
      </c>
      <c r="D110" t="s">
        <v>518</v>
      </c>
      <c r="E110" t="s">
        <v>519</v>
      </c>
      <c r="G110" t="s">
        <v>18</v>
      </c>
      <c r="H110" t="s">
        <v>19</v>
      </c>
      <c r="I110" t="s">
        <v>20</v>
      </c>
      <c r="J110" t="s">
        <v>304</v>
      </c>
      <c r="M110" t="s">
        <v>393</v>
      </c>
      <c r="N110" t="s">
        <v>394</v>
      </c>
      <c r="O110" t="s">
        <v>520</v>
      </c>
      <c r="P110">
        <v>0</v>
      </c>
    </row>
    <row r="111" spans="1:16" x14ac:dyDescent="0.25">
      <c r="A111" t="s">
        <v>521</v>
      </c>
      <c r="B111" t="str">
        <f t="shared" si="3"/>
        <v>2017</v>
      </c>
      <c r="C111" t="s">
        <v>522</v>
      </c>
      <c r="D111" t="s">
        <v>523</v>
      </c>
      <c r="E111" t="s">
        <v>524</v>
      </c>
      <c r="G111" t="s">
        <v>18</v>
      </c>
      <c r="H111" t="s">
        <v>19</v>
      </c>
      <c r="I111" t="s">
        <v>20</v>
      </c>
      <c r="J111" t="s">
        <v>304</v>
      </c>
      <c r="M111" t="s">
        <v>525</v>
      </c>
      <c r="N111" t="s">
        <v>526</v>
      </c>
      <c r="O111" t="s">
        <v>527</v>
      </c>
      <c r="P111">
        <v>0</v>
      </c>
    </row>
    <row r="112" spans="1:16" x14ac:dyDescent="0.25">
      <c r="A112" t="s">
        <v>528</v>
      </c>
      <c r="B112" t="str">
        <f t="shared" si="3"/>
        <v>2017</v>
      </c>
      <c r="C112" t="s">
        <v>529</v>
      </c>
      <c r="D112" t="s">
        <v>530</v>
      </c>
      <c r="E112" t="s">
        <v>531</v>
      </c>
      <c r="G112" t="s">
        <v>18</v>
      </c>
      <c r="H112" t="s">
        <v>19</v>
      </c>
      <c r="I112" t="s">
        <v>20</v>
      </c>
      <c r="J112" t="s">
        <v>21</v>
      </c>
      <c r="M112" t="s">
        <v>36</v>
      </c>
      <c r="N112" t="s">
        <v>43</v>
      </c>
      <c r="O112" t="s">
        <v>143</v>
      </c>
      <c r="P112">
        <v>0</v>
      </c>
    </row>
    <row r="113" spans="1:16" x14ac:dyDescent="0.25">
      <c r="A113" t="s">
        <v>528</v>
      </c>
      <c r="B113" t="str">
        <f t="shared" si="3"/>
        <v>2017</v>
      </c>
      <c r="C113" t="s">
        <v>532</v>
      </c>
      <c r="D113" t="s">
        <v>533</v>
      </c>
      <c r="E113" t="s">
        <v>534</v>
      </c>
      <c r="G113" t="s">
        <v>18</v>
      </c>
      <c r="H113" t="s">
        <v>19</v>
      </c>
      <c r="I113" t="s">
        <v>20</v>
      </c>
      <c r="J113" t="s">
        <v>21</v>
      </c>
      <c r="M113" t="s">
        <v>36</v>
      </c>
      <c r="N113" t="s">
        <v>43</v>
      </c>
      <c r="O113" t="s">
        <v>126</v>
      </c>
      <c r="P113">
        <v>0</v>
      </c>
    </row>
    <row r="114" spans="1:16" x14ac:dyDescent="0.25">
      <c r="A114" t="s">
        <v>528</v>
      </c>
      <c r="B114" t="str">
        <f t="shared" si="3"/>
        <v>2017</v>
      </c>
      <c r="C114" t="s">
        <v>535</v>
      </c>
      <c r="D114" t="s">
        <v>536</v>
      </c>
      <c r="E114" t="s">
        <v>537</v>
      </c>
      <c r="G114" t="s">
        <v>18</v>
      </c>
      <c r="H114" t="s">
        <v>19</v>
      </c>
      <c r="I114" t="s">
        <v>20</v>
      </c>
      <c r="J114" t="s">
        <v>21</v>
      </c>
      <c r="M114" t="s">
        <v>36</v>
      </c>
      <c r="N114" t="s">
        <v>43</v>
      </c>
      <c r="O114" t="s">
        <v>538</v>
      </c>
      <c r="P114">
        <v>0</v>
      </c>
    </row>
    <row r="115" spans="1:16" x14ac:dyDescent="0.25">
      <c r="A115" t="s">
        <v>528</v>
      </c>
      <c r="B115" t="str">
        <f t="shared" si="3"/>
        <v>2017</v>
      </c>
      <c r="C115" t="s">
        <v>539</v>
      </c>
      <c r="D115" t="s">
        <v>540</v>
      </c>
      <c r="E115" t="s">
        <v>541</v>
      </c>
      <c r="G115" t="s">
        <v>18</v>
      </c>
      <c r="H115" t="s">
        <v>19</v>
      </c>
      <c r="I115" t="s">
        <v>20</v>
      </c>
      <c r="J115" t="s">
        <v>21</v>
      </c>
      <c r="M115" t="s">
        <v>36</v>
      </c>
      <c r="N115" t="s">
        <v>43</v>
      </c>
      <c r="O115" t="s">
        <v>133</v>
      </c>
      <c r="P115">
        <v>0</v>
      </c>
    </row>
    <row r="116" spans="1:16" x14ac:dyDescent="0.25">
      <c r="A116" t="s">
        <v>542</v>
      </c>
      <c r="B116" t="str">
        <f t="shared" si="3"/>
        <v>2017</v>
      </c>
      <c r="C116" t="s">
        <v>543</v>
      </c>
      <c r="D116" t="s">
        <v>544</v>
      </c>
      <c r="E116" t="s">
        <v>545</v>
      </c>
      <c r="G116" t="s">
        <v>18</v>
      </c>
      <c r="H116" t="s">
        <v>19</v>
      </c>
      <c r="I116" t="s">
        <v>20</v>
      </c>
      <c r="J116" t="s">
        <v>304</v>
      </c>
      <c r="M116" t="s">
        <v>393</v>
      </c>
      <c r="N116" t="s">
        <v>546</v>
      </c>
      <c r="O116" t="s">
        <v>547</v>
      </c>
      <c r="P116">
        <v>0</v>
      </c>
    </row>
    <row r="117" spans="1:16" x14ac:dyDescent="0.25">
      <c r="A117" t="s">
        <v>548</v>
      </c>
      <c r="B117" t="str">
        <f t="shared" si="3"/>
        <v>2017</v>
      </c>
      <c r="C117" t="s">
        <v>549</v>
      </c>
      <c r="D117" t="s">
        <v>550</v>
      </c>
      <c r="E117" t="s">
        <v>551</v>
      </c>
      <c r="G117" t="s">
        <v>18</v>
      </c>
      <c r="H117" t="s">
        <v>19</v>
      </c>
      <c r="I117" t="s">
        <v>20</v>
      </c>
      <c r="J117" t="s">
        <v>304</v>
      </c>
      <c r="M117" t="s">
        <v>370</v>
      </c>
      <c r="N117" t="s">
        <v>552</v>
      </c>
      <c r="O117" t="s">
        <v>553</v>
      </c>
      <c r="P117">
        <v>0</v>
      </c>
    </row>
    <row r="118" spans="1:16" x14ac:dyDescent="0.25">
      <c r="A118" t="s">
        <v>554</v>
      </c>
      <c r="B118" t="str">
        <f t="shared" si="3"/>
        <v>2017</v>
      </c>
      <c r="C118" t="s">
        <v>555</v>
      </c>
      <c r="D118" t="s">
        <v>556</v>
      </c>
      <c r="E118" t="s">
        <v>557</v>
      </c>
      <c r="G118" t="s">
        <v>18</v>
      </c>
      <c r="H118" t="s">
        <v>19</v>
      </c>
      <c r="I118" t="s">
        <v>20</v>
      </c>
      <c r="J118" t="s">
        <v>21</v>
      </c>
      <c r="M118" t="s">
        <v>558</v>
      </c>
      <c r="N118" t="s">
        <v>559</v>
      </c>
      <c r="O118" t="s">
        <v>560</v>
      </c>
      <c r="P118">
        <v>0</v>
      </c>
    </row>
    <row r="119" spans="1:16" x14ac:dyDescent="0.25">
      <c r="A119" t="s">
        <v>561</v>
      </c>
      <c r="B119" t="str">
        <f t="shared" si="3"/>
        <v>2019</v>
      </c>
      <c r="C119" t="s">
        <v>562</v>
      </c>
      <c r="D119" t="s">
        <v>563</v>
      </c>
      <c r="E119" t="s">
        <v>564</v>
      </c>
      <c r="G119" t="s">
        <v>18</v>
      </c>
      <c r="H119" t="s">
        <v>19</v>
      </c>
      <c r="I119" t="s">
        <v>20</v>
      </c>
      <c r="J119" t="s">
        <v>304</v>
      </c>
      <c r="M119" t="s">
        <v>393</v>
      </c>
      <c r="N119" t="s">
        <v>565</v>
      </c>
      <c r="O119" t="s">
        <v>372</v>
      </c>
      <c r="P119">
        <v>0</v>
      </c>
    </row>
    <row r="120" spans="1:16" x14ac:dyDescent="0.25">
      <c r="A120" t="s">
        <v>566</v>
      </c>
      <c r="B120" t="str">
        <f t="shared" si="3"/>
        <v>2020</v>
      </c>
      <c r="C120" t="s">
        <v>567</v>
      </c>
      <c r="D120" t="s">
        <v>568</v>
      </c>
      <c r="E120" t="s">
        <v>569</v>
      </c>
      <c r="G120" t="s">
        <v>18</v>
      </c>
      <c r="H120" t="s">
        <v>19</v>
      </c>
      <c r="I120" t="s">
        <v>20</v>
      </c>
      <c r="J120" t="s">
        <v>304</v>
      </c>
      <c r="M120" t="s">
        <v>570</v>
      </c>
      <c r="N120" t="s">
        <v>571</v>
      </c>
      <c r="O120" t="s">
        <v>48</v>
      </c>
      <c r="P120">
        <v>0</v>
      </c>
    </row>
    <row r="121" spans="1:16" x14ac:dyDescent="0.25">
      <c r="A121" t="s">
        <v>572</v>
      </c>
      <c r="B121" t="str">
        <f t="shared" si="3"/>
        <v>2020</v>
      </c>
      <c r="C121" t="s">
        <v>573</v>
      </c>
      <c r="D121" t="s">
        <v>574</v>
      </c>
      <c r="E121" t="s">
        <v>575</v>
      </c>
      <c r="G121" t="s">
        <v>18</v>
      </c>
      <c r="H121" t="s">
        <v>19</v>
      </c>
      <c r="I121" t="s">
        <v>20</v>
      </c>
      <c r="J121" t="s">
        <v>304</v>
      </c>
      <c r="M121" t="s">
        <v>36</v>
      </c>
      <c r="N121" t="s">
        <v>576</v>
      </c>
      <c r="O121" t="s">
        <v>577</v>
      </c>
      <c r="P121">
        <v>0</v>
      </c>
    </row>
    <row r="122" spans="1:16" x14ac:dyDescent="0.25">
      <c r="A122" t="s">
        <v>578</v>
      </c>
      <c r="B122" t="str">
        <f t="shared" ref="B122" si="4">RIGHT(A122,4)</f>
        <v>2023</v>
      </c>
      <c r="C122" t="s">
        <v>579</v>
      </c>
      <c r="D122" t="s">
        <v>580</v>
      </c>
      <c r="E122" t="s">
        <v>581</v>
      </c>
      <c r="G122" t="s">
        <v>18</v>
      </c>
      <c r="H122" t="s">
        <v>19</v>
      </c>
      <c r="I122" t="s">
        <v>20</v>
      </c>
      <c r="J122" t="s">
        <v>582</v>
      </c>
      <c r="M122" t="s">
        <v>506</v>
      </c>
      <c r="N122" t="s">
        <v>583</v>
      </c>
      <c r="O122" t="s">
        <v>584</v>
      </c>
      <c r="P122">
        <v>0</v>
      </c>
    </row>
  </sheetData>
  <autoFilter ref="A1:P122" xr:uid="{00000000-0001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Yu Jiunn Wang</cp:lastModifiedBy>
  <dcterms:created xsi:type="dcterms:W3CDTF">2025-07-06T12:45:19Z</dcterms:created>
  <dcterms:modified xsi:type="dcterms:W3CDTF">2025-10-20T12:06:13Z</dcterms:modified>
</cp:coreProperties>
</file>